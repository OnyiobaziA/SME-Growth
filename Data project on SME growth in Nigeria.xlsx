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FILES\"/>
    </mc:Choice>
  </mc:AlternateContent>
  <xr:revisionPtr revIDLastSave="0" documentId="13_ncr:1_{BA1F2B22-A374-4DA4-A155-ED4DD95D1437}" xr6:coauthVersionLast="47" xr6:coauthVersionMax="47" xr10:uidLastSave="{00000000-0000-0000-0000-000000000000}"/>
  <bookViews>
    <workbookView xWindow="-120" yWindow="-120" windowWidth="20730" windowHeight="11160" activeTab="2" xr2:uid="{C32FBBC6-83F7-422F-BE82-21772EAEECB7}"/>
  </bookViews>
  <sheets>
    <sheet name="Statistical Analysis" sheetId="2" r:id="rId1"/>
    <sheet name="Workings" sheetId="16" r:id="rId2"/>
    <sheet name="Combined data" sheetId="1" r:id="rId3"/>
    <sheet name="Sheet1" sheetId="25" r:id="rId4"/>
    <sheet name="Raw Data" sheetId="17" r:id="rId5"/>
    <sheet name="DASHBOARD" sheetId="24" r:id="rId6"/>
  </sheets>
  <calcPr calcId="191029"/>
  <pivotCaches>
    <pivotCache cacheId="71" r:id="rId7"/>
    <pivotCache cacheId="72" r:id="rId8"/>
    <pivotCache cacheId="7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7" l="1"/>
  <c r="L2" i="17"/>
</calcChain>
</file>

<file path=xl/sharedStrings.xml><?xml version="1.0" encoding="utf-8"?>
<sst xmlns="http://schemas.openxmlformats.org/spreadsheetml/2006/main" count="80" uniqueCount="49">
  <si>
    <t>YEAR</t>
  </si>
  <si>
    <t>SMEG</t>
  </si>
  <si>
    <t>CLS</t>
  </si>
  <si>
    <t>EXR</t>
  </si>
  <si>
    <t>IR</t>
  </si>
  <si>
    <t>INFL</t>
  </si>
  <si>
    <t>UNEM</t>
  </si>
  <si>
    <t>MICRO</t>
  </si>
  <si>
    <t>MEAN</t>
  </si>
  <si>
    <t>MEDIAN</t>
  </si>
  <si>
    <t>MAXIMUM</t>
  </si>
  <si>
    <t>MINIMUM</t>
  </si>
  <si>
    <t>SKEWNESS</t>
  </si>
  <si>
    <t>KURTOSIS</t>
  </si>
  <si>
    <t>SUM</t>
  </si>
  <si>
    <t>RANGE</t>
  </si>
  <si>
    <t>SAMPLE VARIANCE</t>
  </si>
  <si>
    <t>STD. DEV.</t>
  </si>
  <si>
    <t>MODE</t>
  </si>
  <si>
    <t>STD. ERROR</t>
  </si>
  <si>
    <t>COUNT/OBSERVATION</t>
  </si>
  <si>
    <t>Sum of UNEM</t>
  </si>
  <si>
    <t>Row Labels</t>
  </si>
  <si>
    <t>(blank)</t>
  </si>
  <si>
    <t>Grand Total</t>
  </si>
  <si>
    <t>MEAN  OF DATA</t>
  </si>
  <si>
    <t>STD. ERROR OF THE DISTRIBUTION</t>
  </si>
  <si>
    <t>MEDIAN OF DISTRIBUTION</t>
  </si>
  <si>
    <t>MODE OF DISTRIBUTION</t>
  </si>
  <si>
    <t>STD. DEVIATION</t>
  </si>
  <si>
    <t>COUNT</t>
  </si>
  <si>
    <t>Sum of MEAN  OF DATA</t>
  </si>
  <si>
    <t>Sum of MEDIAN OF DISTRIBUTION</t>
  </si>
  <si>
    <t>Sum of MODE OF DISTRIBUTION</t>
  </si>
  <si>
    <t>Sum of RANGE</t>
  </si>
  <si>
    <t>Count of INFL</t>
  </si>
  <si>
    <t>Sum of EXR</t>
  </si>
  <si>
    <t>Sum of IR</t>
  </si>
  <si>
    <t>EXCEL DASHBOARD OF PROJECT ON NIGERIA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</si>
  <si>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</si>
  <si>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</si>
  <si>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</si>
  <si>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</si>
  <si>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</si>
  <si>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</si>
  <si>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</si>
  <si>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</si>
  <si>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Sum of INFL</t>
  </si>
  <si>
    <t>Sum of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</si>
</sst>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48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2" fillId="0" borderId="2" xfId="0" applyFont="1" applyBorder="1" applyAlignment="1">
      <alignment horizontal="centerContinuous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Continuous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 project on SME growth in Nigeria.xlsx]Workings!PivotTable2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MEASURES</a:t>
            </a:r>
            <a:r>
              <a:rPr lang="en-GB" sz="14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CENTRAL TENDENCIES</a:t>
            </a:r>
            <a:endParaRPr lang="en-GB" sz="14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2.2546040666078554E-3"/>
          <c:y val="1.1634866396417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070660522273419E-2"/>
                  <c:h val="6.1366862171841285E-2"/>
                </c:manualLayout>
              </c15:layout>
            </c:ext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</c:pivotFmt>
      <c:pivotFmt>
        <c:idx val="15"/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  <c:spPr>
          <a:ln w="34925" cap="rnd">
            <a:solidFill>
              <a:schemeClr val="accent2">
                <a:shade val="58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9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ln w="34925" cap="rnd">
            <a:solidFill>
              <a:schemeClr val="accent2">
                <a:shade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03319502074663E-2"/>
              <c:y val="0.1006020473855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670816044260029E-2"/>
              <c:y val="8.98203762265565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904564315352597E-2"/>
              <c:y val="9.700815699924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34925" cap="rnd">
            <a:solidFill>
              <a:schemeClr val="accent2">
                <a:tint val="86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2697095435684644E-2"/>
              <c:y val="1.7942568499692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149650672209877E-2"/>
          <c:y val="0.20100771797026709"/>
          <c:w val="0.58909815308340263"/>
          <c:h val="0.69384906999317975"/>
        </c:manualLayout>
      </c:layout>
      <c:lineChart>
        <c:grouping val="percentStacked"/>
        <c:varyColors val="0"/>
        <c:ser>
          <c:idx val="0"/>
          <c:order val="0"/>
          <c:tx>
            <c:strRef>
              <c:f>Workings!$B$3</c:f>
              <c:strCache>
                <c:ptCount val="1"/>
                <c:pt idx="0">
                  <c:v>Sum of MEAN  OF DATA</c:v>
                </c:pt>
              </c:strCache>
            </c:strRef>
          </c:tx>
          <c:spPr>
            <a:ln w="34925" cap="rnd">
              <a:solidFill>
                <a:schemeClr val="accent2">
                  <a:shade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8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58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58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58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B171-474F-928A-01DF54A52C3F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8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58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58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58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71-474F-928A-01DF54A52C3F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8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58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58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58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171-474F-928A-01DF54A52C3F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8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58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58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58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71-474F-928A-01DF54A52C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Workings!$A$4:$A$18</c:f>
              <c:multiLvlStrCache>
                <c:ptCount val="7"/>
                <c:lvl>
                  <c:pt idx="0">
                    <c:v>22</c:v>
                  </c:pt>
                  <c:pt idx="1">
                    <c:v>21</c:v>
                  </c:pt>
                  <c:pt idx="2">
                    <c:v>21</c:v>
                  </c:pt>
                  <c:pt idx="3">
                    <c:v>22</c:v>
                  </c:pt>
                  <c:pt idx="4">
                    <c:v>22</c:v>
                  </c:pt>
                  <c:pt idx="5">
                    <c:v>20</c:v>
                  </c:pt>
                  <c:pt idx="6">
                    <c:v>19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</c:lvl>
              </c:multiLvlStrCache>
            </c:multiLvlStrRef>
          </c:cat>
          <c:val>
            <c:numRef>
              <c:f>Workings!$B$4:$B$18</c:f>
              <c:numCache>
                <c:formatCode>#,##0</c:formatCode>
                <c:ptCount val="7"/>
                <c:pt idx="0">
                  <c:v>29030.539999999994</c:v>
                </c:pt>
                <c:pt idx="1">
                  <c:v>11.607421311554001</c:v>
                </c:pt>
                <c:pt idx="2">
                  <c:v>178.56476569009965</c:v>
                </c:pt>
                <c:pt idx="3">
                  <c:v>17.619522159525793</c:v>
                </c:pt>
                <c:pt idx="4">
                  <c:v>12.342776410672499</c:v>
                </c:pt>
                <c:pt idx="5">
                  <c:v>4.0069999999999997</c:v>
                </c:pt>
                <c:pt idx="6">
                  <c:v>72904.652105263202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71-474F-928A-01DF54A52C3F}"/>
            </c:ext>
          </c:extLst>
        </c:ser>
        <c:ser>
          <c:idx val="1"/>
          <c:order val="1"/>
          <c:tx>
            <c:strRef>
              <c:f>Workings!$C$3</c:f>
              <c:strCache>
                <c:ptCount val="1"/>
                <c:pt idx="0">
                  <c:v>Sum of MEDIAN OF DISTRIBUTION</c:v>
                </c:pt>
              </c:strCache>
            </c:strRef>
          </c:tx>
          <c:spPr>
            <a:ln w="34925" cap="rnd">
              <a:solidFill>
                <a:schemeClr val="accent2">
                  <a:shade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shade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71-474F-928A-01DF54A52C3F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171-474F-928A-01DF54A52C3F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71-474F-928A-01DF54A52C3F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hade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shade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shade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shade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171-474F-928A-01DF54A52C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Workings!$A$4:$A$18</c:f>
              <c:multiLvlStrCache>
                <c:ptCount val="7"/>
                <c:lvl>
                  <c:pt idx="0">
                    <c:v>22</c:v>
                  </c:pt>
                  <c:pt idx="1">
                    <c:v>21</c:v>
                  </c:pt>
                  <c:pt idx="2">
                    <c:v>21</c:v>
                  </c:pt>
                  <c:pt idx="3">
                    <c:v>22</c:v>
                  </c:pt>
                  <c:pt idx="4">
                    <c:v>22</c:v>
                  </c:pt>
                  <c:pt idx="5">
                    <c:v>20</c:v>
                  </c:pt>
                  <c:pt idx="6">
                    <c:v>19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</c:lvl>
              </c:multiLvlStrCache>
            </c:multiLvlStrRef>
          </c:cat>
          <c:val>
            <c:numRef>
              <c:f>Workings!$C$4:$C$18</c:f>
              <c:numCache>
                <c:formatCode>#,##0</c:formatCode>
                <c:ptCount val="7"/>
                <c:pt idx="0">
                  <c:v>29741.66</c:v>
                </c:pt>
                <c:pt idx="1">
                  <c:v>11.0321388749083</c:v>
                </c:pt>
                <c:pt idx="2">
                  <c:v>150.29750000000001</c:v>
                </c:pt>
                <c:pt idx="3">
                  <c:v>16.898615149010951</c:v>
                </c:pt>
                <c:pt idx="4">
                  <c:v>12.3863710622264</c:v>
                </c:pt>
                <c:pt idx="5">
                  <c:v>4.0750000000000002</c:v>
                </c:pt>
                <c:pt idx="6">
                  <c:v>50928.3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71-474F-928A-01DF54A52C3F}"/>
            </c:ext>
          </c:extLst>
        </c:ser>
        <c:ser>
          <c:idx val="2"/>
          <c:order val="2"/>
          <c:tx>
            <c:strRef>
              <c:f>Workings!$D$3</c:f>
              <c:strCache>
                <c:ptCount val="1"/>
                <c:pt idx="0">
                  <c:v>Sum of MODE OF DISTRIBUTION</c:v>
                </c:pt>
              </c:strCache>
            </c:strRef>
          </c:tx>
          <c:spPr>
            <a:ln w="34925" cap="rnd">
              <a:solidFill>
                <a:schemeClr val="accent2">
                  <a:tint val="8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tint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tint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tint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71-474F-928A-01DF54A52C3F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tint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tint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tint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71-474F-928A-01DF54A52C3F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tint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tint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tint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71-474F-928A-01DF54A52C3F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tint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tint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tint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71-474F-928A-01DF54A52C3F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tint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tint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tint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71-474F-928A-01DF54A52C3F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tint val="86000"/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tint val="86000"/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tint val="86000"/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>
                      <a:tint val="86000"/>
                    </a:schemeClr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2">
                    <a:tint val="8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71-474F-928A-01DF54A52C3F}"/>
              </c:ext>
            </c:extLst>
          </c:dPt>
          <c:dLbls>
            <c:dLbl>
              <c:idx val="1"/>
              <c:layout>
                <c:manualLayout>
                  <c:x val="-3.1203319502074663E-2"/>
                  <c:y val="0.100602047385586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171-474F-928A-01DF54A52C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171-474F-928A-01DF54A52C3F}"/>
                </c:ext>
              </c:extLst>
            </c:dLbl>
            <c:dLbl>
              <c:idx val="3"/>
              <c:layout>
                <c:manualLayout>
                  <c:x val="-2.5670816044260029E-2"/>
                  <c:y val="8.9820376226556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171-474F-928A-01DF54A52C3F}"/>
                </c:ext>
              </c:extLst>
            </c:dLbl>
            <c:dLbl>
              <c:idx val="4"/>
              <c:layout>
                <c:manualLayout>
                  <c:x val="-2.2904564315352597E-2"/>
                  <c:y val="9.700815699924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171-474F-928A-01DF54A52C3F}"/>
                </c:ext>
              </c:extLst>
            </c:dLbl>
            <c:dLbl>
              <c:idx val="6"/>
              <c:layout>
                <c:manualLayout>
                  <c:x val="-7.2697095435684644E-2"/>
                  <c:y val="1.7942568499692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171-474F-928A-01DF54A52C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Workings!$A$4:$A$18</c:f>
              <c:multiLvlStrCache>
                <c:ptCount val="7"/>
                <c:lvl>
                  <c:pt idx="0">
                    <c:v>22</c:v>
                  </c:pt>
                  <c:pt idx="1">
                    <c:v>21</c:v>
                  </c:pt>
                  <c:pt idx="2">
                    <c:v>21</c:v>
                  </c:pt>
                  <c:pt idx="3">
                    <c:v>22</c:v>
                  </c:pt>
                  <c:pt idx="4">
                    <c:v>22</c:v>
                  </c:pt>
                  <c:pt idx="5">
                    <c:v>20</c:v>
                  </c:pt>
                  <c:pt idx="6">
                    <c:v>19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</c:lvl>
              </c:multiLvlStrCache>
            </c:multiLvlStrRef>
          </c:cat>
          <c:val>
            <c:numRef>
              <c:f>Workings!$D$4:$D$18</c:f>
              <c:numCache>
                <c:formatCode>#,##0</c:formatCode>
                <c:ptCount val="7"/>
                <c:pt idx="0">
                  <c:v>41120.97</c:v>
                </c:pt>
                <c:pt idx="5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171-474F-928A-01DF54A52C3F}"/>
            </c:ext>
          </c:extLst>
        </c:ser>
        <c:ser>
          <c:idx val="3"/>
          <c:order val="3"/>
          <c:tx>
            <c:strRef>
              <c:f>Workings!$E$3</c:f>
              <c:strCache>
                <c:ptCount val="1"/>
                <c:pt idx="0">
                  <c:v>Sum of RANGE</c:v>
                </c:pt>
              </c:strCache>
            </c:strRef>
          </c:tx>
          <c:spPr>
            <a:ln w="34925" cap="rnd">
              <a:solidFill>
                <a:schemeClr val="accent2">
                  <a:tint val="58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tint val="58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Workings!$A$4:$A$18</c:f>
              <c:multiLvlStrCache>
                <c:ptCount val="7"/>
                <c:lvl>
                  <c:pt idx="0">
                    <c:v>22</c:v>
                  </c:pt>
                  <c:pt idx="1">
                    <c:v>21</c:v>
                  </c:pt>
                  <c:pt idx="2">
                    <c:v>21</c:v>
                  </c:pt>
                  <c:pt idx="3">
                    <c:v>22</c:v>
                  </c:pt>
                  <c:pt idx="4">
                    <c:v>22</c:v>
                  </c:pt>
                  <c:pt idx="5">
                    <c:v>20</c:v>
                  </c:pt>
                  <c:pt idx="6">
                    <c:v>19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</c:lvl>
              </c:multiLvlStrCache>
            </c:multiLvlStrRef>
          </c:cat>
          <c:val>
            <c:numRef>
              <c:f>Workings!$E$4:$E$18</c:f>
              <c:numCache>
                <c:formatCode>#,##0</c:formatCode>
                <c:ptCount val="7"/>
                <c:pt idx="0">
                  <c:v>31345.73</c:v>
                </c:pt>
                <c:pt idx="1">
                  <c:v>11.5334929417879</c:v>
                </c:pt>
                <c:pt idx="2">
                  <c:v>257.11346392496398</c:v>
                </c:pt>
                <c:pt idx="3">
                  <c:v>13.2877005386196</c:v>
                </c:pt>
                <c:pt idx="4">
                  <c:v>13.48563824080005</c:v>
                </c:pt>
                <c:pt idx="5">
                  <c:v>1.2599999999999998</c:v>
                </c:pt>
                <c:pt idx="6">
                  <c:v>206649.32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171-474F-928A-01DF54A52C3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1702288"/>
        <c:axId val="1931704208"/>
      </c:lineChart>
      <c:catAx>
        <c:axId val="193170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04208"/>
        <c:crosses val="autoZero"/>
        <c:auto val="1"/>
        <c:lblAlgn val="ctr"/>
        <c:lblOffset val="100"/>
        <c:noMultiLvlLbl val="0"/>
      </c:catAx>
      <c:valAx>
        <c:axId val="1931704208"/>
        <c:scaling>
          <c:orientation val="minMax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10785114516273"/>
          <c:y val="0.35180423201816752"/>
          <c:w val="0.26629463848139312"/>
          <c:h val="0.33064131134551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RATE</a:t>
            </a:r>
            <a:r>
              <a:rPr lang="en-GB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OF UNEMPLOYMENT AND INFLATION AFFECTING THE COUNTRY</a:t>
            </a:r>
            <a:endParaRPr lang="en-GB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1.8106960577935604E-3"/>
          <c:y val="1.2929287993272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025371828521435E-2"/>
          <c:y val="0.14249781277340332"/>
          <c:w val="0.69047703412073491"/>
          <c:h val="0.59032516768737242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2"/>
                      <c:pt idx="21">
                        <c:v>22</c:v>
                      </c:pt>
                      <c:pt idx="22">
                        <c:v>23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2"/>
                      <c:pt idx="21">
                        <c:v>1</c:v>
                      </c:pt>
                      <c:pt idx="22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3-42A6-B134-A3358406CB9D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2"/>
                      <c:pt idx="21">
                        <c:v>22</c:v>
                      </c:pt>
                      <c:pt idx="22">
                        <c:v>23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2"/>
                      <c:pt idx="21">
                        <c:v>0</c:v>
                      </c:pt>
                      <c:pt idx="22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1"/>
                <c:pt idx="0">
                  <c:v>3.44</c:v>
                </c:pt>
                <c:pt idx="1">
                  <c:v>3.43</c:v>
                </c:pt>
                <c:pt idx="2">
                  <c:v>3.45</c:v>
                </c:pt>
                <c:pt idx="3">
                  <c:v>3.45</c:v>
                </c:pt>
                <c:pt idx="4">
                  <c:v>3.42</c:v>
                </c:pt>
                <c:pt idx="5">
                  <c:v>3.5</c:v>
                </c:pt>
                <c:pt idx="6">
                  <c:v>3.54</c:v>
                </c:pt>
                <c:pt idx="7">
                  <c:v>3.58</c:v>
                </c:pt>
                <c:pt idx="8">
                  <c:v>3.67</c:v>
                </c:pt>
                <c:pt idx="9">
                  <c:v>3.99</c:v>
                </c:pt>
                <c:pt idx="10">
                  <c:v>4.16</c:v>
                </c:pt>
                <c:pt idx="11">
                  <c:v>4.29</c:v>
                </c:pt>
                <c:pt idx="12">
                  <c:v>4.4400000000000004</c:v>
                </c:pt>
                <c:pt idx="13">
                  <c:v>4.59</c:v>
                </c:pt>
                <c:pt idx="14">
                  <c:v>4.68</c:v>
                </c:pt>
                <c:pt idx="15">
                  <c:v>4.6399999999999997</c:v>
                </c:pt>
                <c:pt idx="16">
                  <c:v>4.59</c:v>
                </c:pt>
                <c:pt idx="17">
                  <c:v>4.5</c:v>
                </c:pt>
                <c:pt idx="18">
                  <c:v>4.42</c:v>
                </c:pt>
                <c:pt idx="19">
                  <c:v>4.3600000000000003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3-42A6-B134-A3358406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64703280"/>
        <c:axId val="464700400"/>
      </c:barChart>
      <c:catAx>
        <c:axId val="46470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00400"/>
        <c:crosses val="autoZero"/>
        <c:auto val="1"/>
        <c:lblAlgn val="ctr"/>
        <c:lblOffset val="100"/>
        <c:noMultiLvlLbl val="0"/>
      </c:catAx>
      <c:valAx>
        <c:axId val="46470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70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project on SME growth in Nigeria.xlsx]Workings!PivotTable7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EXCHANGE AND INTEREST RATE FOR EACH YEAR</a:t>
            </a:r>
          </a:p>
        </c:rich>
      </c:tx>
      <c:layout>
        <c:manualLayout>
          <c:xMode val="edge"/>
          <c:yMode val="edge"/>
          <c:x val="7.6248906386701632E-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8100" cap="rnd">
            <a:solidFill>
              <a:schemeClr val="accent1"/>
            </a:solidFill>
            <a:round/>
            <a:headEnd type="triangl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  <a:tailEnd type="triangl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8100" cap="rnd">
            <a:solidFill>
              <a:schemeClr val="accent1"/>
            </a:solidFill>
            <a:round/>
            <a:headEnd type="triangl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0"/>
        <c:spPr>
          <a:ln w="38100" cap="rnd">
            <a:solidFill>
              <a:schemeClr val="accent2"/>
            </a:solidFill>
            <a:round/>
            <a:tailEnd type="triangl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1"/>
        <c:spPr>
          <a:ln w="34925" cap="rnd">
            <a:solidFill>
              <a:schemeClr val="accent2"/>
            </a:solidFill>
            <a:round/>
            <a:tailEnd type="triangle"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Workings!$H$3</c:f>
              <c:strCache>
                <c:ptCount val="1"/>
                <c:pt idx="0">
                  <c:v>Sum of EXR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  <a:headEnd type="triangl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  <a:headEnd type="triangle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94E-4F44-8BA0-FF7B23A221FA}"/>
              </c:ext>
            </c:extLst>
          </c:dPt>
          <c:cat>
            <c:strRef>
              <c:f>Workings!$G$4:$G$26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Workings!$H$4:$H$26</c:f>
              <c:numCache>
                <c:formatCode>General</c:formatCode>
                <c:ptCount val="22"/>
                <c:pt idx="0">
                  <c:v>101.69733333333301</c:v>
                </c:pt>
                <c:pt idx="1">
                  <c:v>111.23125</c:v>
                </c:pt>
                <c:pt idx="2">
                  <c:v>120.57815833333299</c:v>
                </c:pt>
                <c:pt idx="3">
                  <c:v>129.22235000000001</c:v>
                </c:pt>
                <c:pt idx="4">
                  <c:v>132.888025</c:v>
                </c:pt>
                <c:pt idx="5">
                  <c:v>131.274333333333</c:v>
                </c:pt>
                <c:pt idx="6">
                  <c:v>128.65166666666701</c:v>
                </c:pt>
                <c:pt idx="7">
                  <c:v>125.808108333333</c:v>
                </c:pt>
                <c:pt idx="8">
                  <c:v>118.566666666667</c:v>
                </c:pt>
                <c:pt idx="9">
                  <c:v>148.88</c:v>
                </c:pt>
                <c:pt idx="10">
                  <c:v>150.29750000000001</c:v>
                </c:pt>
                <c:pt idx="11">
                  <c:v>153.86250000000001</c:v>
                </c:pt>
                <c:pt idx="12">
                  <c:v>157.5</c:v>
                </c:pt>
                <c:pt idx="13">
                  <c:v>157.31166666666701</c:v>
                </c:pt>
                <c:pt idx="14">
                  <c:v>158.552641666667</c:v>
                </c:pt>
                <c:pt idx="15">
                  <c:v>192.440333333333</c:v>
                </c:pt>
                <c:pt idx="16">
                  <c:v>253.49199999999999</c:v>
                </c:pt>
                <c:pt idx="17">
                  <c:v>305.79010916000499</c:v>
                </c:pt>
                <c:pt idx="18">
                  <c:v>306.08368824523399</c:v>
                </c:pt>
                <c:pt idx="19">
                  <c:v>306.92095149522299</c:v>
                </c:pt>
                <c:pt idx="20">
                  <c:v>358.81079725829699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E-4F44-8BA0-FF7B23A221FA}"/>
            </c:ext>
          </c:extLst>
        </c:ser>
        <c:ser>
          <c:idx val="1"/>
          <c:order val="1"/>
          <c:tx>
            <c:strRef>
              <c:f>Workings!$I$3</c:f>
              <c:strCache>
                <c:ptCount val="1"/>
                <c:pt idx="0">
                  <c:v>Sum of IR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  <a:tailEnd type="triangl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  <a:tailEnd type="triangle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94E-4F44-8BA0-FF7B23A221FA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chemeClr val="accent2"/>
                </a:solidFill>
                <a:round/>
                <a:tailEnd type="triangle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4E-4F44-8BA0-FF7B23A221FA}"/>
              </c:ext>
            </c:extLst>
          </c:dPt>
          <c:cat>
            <c:strRef>
              <c:f>Workings!$G$4:$G$26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Workings!$I$4:$I$26</c:f>
              <c:numCache>
                <c:formatCode>General</c:formatCode>
                <c:ptCount val="22"/>
                <c:pt idx="0">
                  <c:v>21.274166666666702</c:v>
                </c:pt>
                <c:pt idx="1">
                  <c:v>23.438333333333301</c:v>
                </c:pt>
                <c:pt idx="2">
                  <c:v>24.7708333333333</c:v>
                </c:pt>
                <c:pt idx="3">
                  <c:v>20.714166666666699</c:v>
                </c:pt>
                <c:pt idx="4">
                  <c:v>19.1808333333333</c:v>
                </c:pt>
                <c:pt idx="5">
                  <c:v>17.948333333333299</c:v>
                </c:pt>
                <c:pt idx="6">
                  <c:v>16.893333333333299</c:v>
                </c:pt>
                <c:pt idx="7">
                  <c:v>16.939166666666701</c:v>
                </c:pt>
                <c:pt idx="8">
                  <c:v>15.1358333333333</c:v>
                </c:pt>
                <c:pt idx="9">
                  <c:v>18.990833333333299</c:v>
                </c:pt>
                <c:pt idx="10">
                  <c:v>17.585000000000001</c:v>
                </c:pt>
                <c:pt idx="11">
                  <c:v>16.02</c:v>
                </c:pt>
                <c:pt idx="12">
                  <c:v>16.7916666666667</c:v>
                </c:pt>
                <c:pt idx="13">
                  <c:v>16.7225</c:v>
                </c:pt>
                <c:pt idx="14">
                  <c:v>16.5483333333333</c:v>
                </c:pt>
                <c:pt idx="15">
                  <c:v>16.849166666666701</c:v>
                </c:pt>
                <c:pt idx="16">
                  <c:v>16.8680157641191</c:v>
                </c:pt>
                <c:pt idx="17">
                  <c:v>17.553333333333299</c:v>
                </c:pt>
                <c:pt idx="18">
                  <c:v>16.903896964688599</c:v>
                </c:pt>
                <c:pt idx="19">
                  <c:v>15.3765869808333</c:v>
                </c:pt>
                <c:pt idx="20">
                  <c:v>13.642021671879601</c:v>
                </c:pt>
                <c:pt idx="21">
                  <c:v>11.483132794713701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E-4F44-8BA0-FF7B23A2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604704"/>
        <c:axId val="614610944"/>
      </c:lineChart>
      <c:catAx>
        <c:axId val="6146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10944"/>
        <c:crosses val="autoZero"/>
        <c:auto val="1"/>
        <c:lblAlgn val="ctr"/>
        <c:lblOffset val="100"/>
        <c:noMultiLvlLbl val="0"/>
      </c:catAx>
      <c:valAx>
        <c:axId val="61461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0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322118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D39BA-59FB-4EA7-811E-46FAD1A07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4</xdr:row>
      <xdr:rowOff>19050</xdr:rowOff>
    </xdr:from>
    <xdr:to>
      <xdr:col>16</xdr:col>
      <xdr:colOff>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E276DF-1816-45D0-85DA-16AC3712E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66675</xdr:colOff>
      <xdr:row>3</xdr:row>
      <xdr:rowOff>190499</xdr:rowOff>
    </xdr:from>
    <xdr:to>
      <xdr:col>22</xdr:col>
      <xdr:colOff>588694</xdr:colOff>
      <xdr:row>23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65A613-F111-4B89-ADB8-B79864ECC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30.418867708337" createdVersion="8" refreshedVersion="8" minRefreshableVersion="3" recordCount="23" xr:uid="{8F41DDCE-9050-4998-94FB-2DE5F0C0C963}">
  <cacheSource type="worksheet">
    <worksheetSource ref="A1:H1048576" sheet="Combined data"/>
  </cacheSource>
  <cacheFields count="8">
    <cacheField name="YEAR" numFmtId="0">
      <sharedItems containsString="0" containsBlank="1" containsNumber="1" containsInteger="1" minValue="2000" maxValue="2021" count="23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m/>
      </sharedItems>
    </cacheField>
    <cacheField name="SMEG" numFmtId="0">
      <sharedItems containsString="0" containsBlank="1" containsNumber="1" minValue="11667.52" maxValue="43013.25"/>
    </cacheField>
    <cacheField name="CLS" numFmtId="0">
      <sharedItems containsString="0" containsBlank="1" containsNumber="1" minValue="8.0700361066162607" maxValue="19.603529048404187"/>
    </cacheField>
    <cacheField name="EXR" numFmtId="0">
      <sharedItems containsString="0" containsBlank="1" containsNumber="1" minValue="101.69733333333301" maxValue="358.81079725829699"/>
    </cacheField>
    <cacheField name="IR" numFmtId="0">
      <sharedItems containsString="0" containsBlank="1" containsNumber="1" minValue="11.483132794713701" maxValue="24.7708333333333"/>
    </cacheField>
    <cacheField name="INFL" numFmtId="0">
      <sharedItems containsString="0" containsBlank="1" containsNumber="1" minValue="5.3880079685862503" maxValue="18.873646209386301"/>
    </cacheField>
    <cacheField name="UNEM" numFmtId="0">
      <sharedItems containsString="0" containsBlank="1" containsNumber="1" minValue="3.42" maxValue="4.68"/>
    </cacheField>
    <cacheField name="MICRO" numFmtId="0">
      <sharedItems containsString="0" containsBlank="1" containsNumber="1" minValue="1314" maxValue="207963.32"/>
    </cacheField>
  </cacheFields>
  <extLst>
    <ext xmlns:x14="http://schemas.microsoft.com/office/spreadsheetml/2009/9/main" uri="{725AE2AE-9491-48be-B2B4-4EB974FC3084}">
      <x14:pivotCacheDefinition pivotCacheId="6965303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30.436323958333" createdVersion="8" refreshedVersion="8" minRefreshableVersion="3" recordCount="23" xr:uid="{1CCC10E6-5914-426B-AC69-9DD696AEEBA9}">
  <cacheSource type="worksheet">
    <worksheetSource ref="A1:T1048576" sheet="Combined data"/>
  </cacheSource>
  <cacheFields count="21">
    <cacheField name="YEAR" numFmtId="0">
      <sharedItems containsString="0" containsBlank="1" containsNumber="1" containsInteger="1" minValue="2000" maxValue="2021" count="23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m/>
      </sharedItems>
    </cacheField>
    <cacheField name="SMEG" numFmtId="0">
      <sharedItems containsString="0" containsBlank="1" containsNumber="1" minValue="11667.52" maxValue="43013.25"/>
    </cacheField>
    <cacheField name="CLS" numFmtId="0">
      <sharedItems containsString="0" containsBlank="1" containsNumber="1" minValue="8.0700361066162607" maxValue="19.603529048404187"/>
    </cacheField>
    <cacheField name="EXR" numFmtId="0">
      <sharedItems containsString="0" containsBlank="1" containsNumber="1" minValue="101.69733333333301" maxValue="358.81079725829699"/>
    </cacheField>
    <cacheField name="IR" numFmtId="0">
      <sharedItems containsString="0" containsBlank="1" containsNumber="1" minValue="11.483132794713701" maxValue="24.7708333333333"/>
    </cacheField>
    <cacheField name="INFL" numFmtId="0">
      <sharedItems containsString="0" containsBlank="1" containsNumber="1" minValue="5.3880079685862503" maxValue="18.873646209386301"/>
    </cacheField>
    <cacheField name="UNEM" numFmtId="0">
      <sharedItems containsString="0" containsBlank="1" containsNumber="1" minValue="3.42" maxValue="4.68"/>
    </cacheField>
    <cacheField name="MICRO" numFmtId="0">
      <sharedItems containsString="0" containsBlank="1" containsNumber="1" minValue="1314" maxValue="207963.32"/>
    </cacheField>
    <cacheField name="MEAN  OF DATA" numFmtId="0">
      <sharedItems containsString="0" containsBlank="1" containsNumber="1" minValue="4.0069999999999997" maxValue="72904.652105263202"/>
    </cacheField>
    <cacheField name="STD. ERROR OF THE DISTRIBUTION" numFmtId="0">
      <sharedItems containsString="0" containsBlank="1" containsNumber="1" minValue="0.11184364085633261" maxValue="16712.715403514398"/>
    </cacheField>
    <cacheField name="MEDIAN OF DISTRIBUTION" numFmtId="0">
      <sharedItems containsString="0" containsBlank="1" containsNumber="1" minValue="4.0750000000000002" maxValue="50928.3"/>
    </cacheField>
    <cacheField name="MODE OF DISTRIBUTION" numFmtId="0">
      <sharedItems containsString="0" containsBlank="1" containsNumber="1" minValue="3.45" maxValue="41120.97"/>
    </cacheField>
    <cacheField name="STD. DEVIATION" numFmtId="0">
      <sharedItems containsString="0" containsBlank="1" containsNumber="1" minValue="0.50017996761166506" maxValue="72849.037516074852"/>
    </cacheField>
    <cacheField name="SAMPLE VARIANCE" numFmtId="0">
      <sharedItems containsString="0" containsBlank="1" containsNumber="1" minValue="0.25018000000000629" maxValue="5306982267.0184822"/>
    </cacheField>
    <cacheField name="KURTOSIS" numFmtId="0">
      <sharedItems containsString="0" containsBlank="1" containsNumber="1" minValue="-1.8913333882132897" maxValue="1.2489712009895415"/>
    </cacheField>
    <cacheField name="SKEWNESS" numFmtId="0">
      <sharedItems containsString="0" containsBlank="1" containsNumber="1" minValue="-0.23260996540277323" maxValue="1.2653232791587983"/>
    </cacheField>
    <cacheField name="RANGE" numFmtId="0">
      <sharedItems containsString="0" containsBlank="1" containsNumber="1" minValue="1.2599999999999998" maxValue="206649.32"/>
    </cacheField>
    <cacheField name="MINIMUM" numFmtId="0">
      <sharedItems containsString="0" containsBlank="1" containsNumber="1" minValue="3.42" maxValue="11667.52"/>
    </cacheField>
    <cacheField name="MAXIMUM" numFmtId="0">
      <sharedItems containsString="0" containsBlank="1" containsNumber="1" minValue="4.68" maxValue="207963.32"/>
    </cacheField>
    <cacheField name="COUNT" numFmtId="0">
      <sharedItems containsString="0" containsBlank="1" containsNumber="1" containsInteger="1" minValue="19" maxValue="22" count="5">
        <n v="22"/>
        <n v="21"/>
        <n v="20"/>
        <n v="19"/>
        <m/>
      </sharedItems>
    </cacheField>
    <cacheField name="Field1" numFmtId="0" formula="MINIMUM" databaseField="0"/>
  </cacheFields>
  <extLst>
    <ext xmlns:x14="http://schemas.microsoft.com/office/spreadsheetml/2009/9/main" uri="{725AE2AE-9491-48be-B2B4-4EB974FC3084}">
      <x14:pivotCacheDefinition pivotCacheId="199916196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31.847935300924" createdVersion="8" refreshedVersion="8" minRefreshableVersion="3" recordCount="22" xr:uid="{D8A0C18C-DF29-4073-9415-D9111101FE01}">
  <cacheSource type="worksheet">
    <worksheetSource name="New"/>
  </cacheSource>
  <cacheFields count="8">
    <cacheField name="YEAR" numFmtId="0">
      <sharedItems containsSemiMixedTypes="0" containsString="0" containsNumber="1" containsInteger="1" minValue="2000" maxValue="2021" count="22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SMEG" numFmtId="0">
      <sharedItems containsSemiMixedTypes="0" containsString="0" containsNumber="1" minValue="11667.52" maxValue="43013.25"/>
    </cacheField>
    <cacheField name="CLS" numFmtId="0">
      <sharedItems containsString="0" containsBlank="1" containsNumber="1" minValue="8.0700361066162607" maxValue="19.603529048404187"/>
    </cacheField>
    <cacheField name="EXR" numFmtId="0">
      <sharedItems containsString="0" containsBlank="1" containsNumber="1" minValue="101.69733333333301" maxValue="358.81079725829699"/>
    </cacheField>
    <cacheField name="IR" numFmtId="0">
      <sharedItems containsSemiMixedTypes="0" containsString="0" containsNumber="1" minValue="11.483132794713701" maxValue="24.7708333333333"/>
    </cacheField>
    <cacheField name="INFL" numFmtId="0">
      <sharedItems containsSemiMixedTypes="0" containsString="0" containsNumber="1" minValue="5.3880079685862503" maxValue="18.873646209386301"/>
    </cacheField>
    <cacheField name="UNEM" numFmtId="0">
      <sharedItems containsString="0" containsBlank="1" containsNumber="1" minValue="3.42" maxValue="4.68"/>
    </cacheField>
    <cacheField name="MICRO" numFmtId="0">
      <sharedItems containsString="0" containsBlank="1" containsNumber="1" minValue="1314" maxValue="207963.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1667.52"/>
    <n v="8.2183570449905954"/>
    <n v="101.69733333333301"/>
    <n v="21.274166666666702"/>
    <n v="6.9332921556515803"/>
    <n v="3.44"/>
    <n v="3666.6"/>
  </r>
  <r>
    <x v="1"/>
    <n v="12116.16"/>
    <n v="9.8431237126109412"/>
    <n v="111.23125"/>
    <n v="23.438333333333301"/>
    <n v="18.873646209386301"/>
    <n v="3.43"/>
    <n v="1314"/>
  </r>
  <r>
    <x v="2"/>
    <n v="15729.25"/>
    <n v="8.0700361066162607"/>
    <n v="120.57815833333299"/>
    <n v="24.7708333333333"/>
    <n v="12.8765792031099"/>
    <n v="3.45"/>
    <n v="4310.8999999999996"/>
  </r>
  <r>
    <x v="3"/>
    <n v="16150.74"/>
    <n v="8.896911860833832"/>
    <n v="129.22235000000001"/>
    <n v="20.714166666666699"/>
    <n v="14.0317836131437"/>
    <n v="3.45"/>
    <n v="9954.7999999999993"/>
  </r>
  <r>
    <x v="4"/>
    <n v="17983.38"/>
    <n v="8.4510109671502729"/>
    <n v="132.888025"/>
    <n v="19.1808333333333"/>
    <n v="14.9980338183251"/>
    <n v="3.42"/>
    <n v="11353.8"/>
  </r>
  <r>
    <x v="5"/>
    <n v="19421.14"/>
    <n v="8.4252993464311849"/>
    <n v="131.274333333333"/>
    <n v="17.948333333333299"/>
    <n v="17.863493366160501"/>
    <n v="3.5"/>
    <n v="28504.799999999999"/>
  </r>
  <r>
    <x v="6"/>
    <n v="21079.279999999999"/>
    <n v="8.1110261868305304"/>
    <n v="128.65166666666701"/>
    <n v="16.893333333333299"/>
    <n v="8.2252215201704804"/>
    <n v="3.54"/>
    <n v="16450.2"/>
  </r>
  <r>
    <x v="7"/>
    <n v="22875.919999999998"/>
    <n v="13.388046235850693"/>
    <n v="125.808108333333"/>
    <n v="16.939166666666701"/>
    <n v="5.3880079685862503"/>
    <n v="3.58"/>
    <n v="22850.2"/>
  </r>
  <r>
    <x v="8"/>
    <n v="24794.31"/>
    <n v="18.573148455763224"/>
    <n v="118.566666666667"/>
    <n v="15.1358333333333"/>
    <n v="11.5810751748252"/>
    <n v="3.67"/>
    <n v="42753.06"/>
  </r>
  <r>
    <x v="9"/>
    <n v="26684.73"/>
    <n v="19.603529048404187"/>
    <n v="148.88"/>
    <n v="18.990833333333299"/>
    <n v="12.5549603893497"/>
    <n v="3.99"/>
    <n v="58215.66"/>
  </r>
  <r>
    <x v="10"/>
    <n v="28673.040000000001"/>
    <n v="13.459395686724115"/>
    <n v="150.29750000000001"/>
    <n v="17.585000000000001"/>
    <n v="13.7202018444406"/>
    <n v="4.16"/>
    <n v="52867.5"/>
  </r>
  <r>
    <x v="11"/>
    <n v="30810.28"/>
    <n v="11.032138874908338"/>
    <n v="153.86250000000001"/>
    <n v="16.02"/>
    <n v="10.840027541886601"/>
    <n v="4.29"/>
    <n v="50928.3"/>
  </r>
  <r>
    <x v="12"/>
    <n v="32753.64"/>
    <n v="10.589451705755321"/>
    <n v="157.5"/>
    <n v="16.7916666666667"/>
    <n v="12.217781735103101"/>
    <n v="4.4400000000000004"/>
    <n v="90422.25"/>
  </r>
  <r>
    <x v="13"/>
    <n v="35504.79"/>
    <n v="11.524427279133695"/>
    <n v="157.31166666666701"/>
    <n v="16.7225"/>
    <n v="8.4758272850289291"/>
    <n v="4.59"/>
    <n v="94055.58"/>
  </r>
  <r>
    <x v="14"/>
    <n v="38071.29"/>
    <n v="13.290212244116164"/>
    <n v="158.552641666667"/>
    <n v="16.5483333333333"/>
    <n v="8.0624858244499897"/>
    <n v="4.68"/>
    <n v="112110.15"/>
  </r>
  <r>
    <x v="15"/>
    <n v="39274.730000000003"/>
    <n v="13.066946797666477"/>
    <n v="192.440333333333"/>
    <n v="16.849166666666701"/>
    <n v="9.0093871832678101"/>
    <n v="4.6399999999999997"/>
    <n v="187247.34"/>
  </r>
  <r>
    <x v="16"/>
    <n v="39381.339999999997"/>
    <n v="14.597205720355793"/>
    <n v="253.49199999999999"/>
    <n v="16.8680157641191"/>
    <n v="15.6753405526234"/>
    <n v="4.59"/>
    <n v="196194.99"/>
  </r>
  <r>
    <x v="17"/>
    <n v="39906.03"/>
    <n v="12.777270533935381"/>
    <n v="305.79010916000499"/>
    <n v="17.553333333333299"/>
    <n v="16.523539980216899"/>
    <n v="4.5"/>
    <n v="194024.94"/>
  </r>
  <r>
    <x v="18"/>
    <n v="40539.120000000003"/>
    <n v="10.179511628721635"/>
    <n v="306.08368824523399"/>
    <n v="16.903896964688599"/>
    <n v="12.094731550531799"/>
    <n v="4.42"/>
    <n v="207963.32"/>
  </r>
  <r>
    <x v="19"/>
    <n v="41120.97"/>
    <n v="10.430729476131484"/>
    <n v="306.92095149522299"/>
    <n v="15.3765869808333"/>
    <n v="11.396794968716801"/>
    <n v="4.3600000000000003"/>
    <m/>
  </r>
  <r>
    <x v="20"/>
    <n v="41120.97"/>
    <n v="11.228068629703298"/>
    <n v="358.81079725829699"/>
    <n v="13.642021671879601"/>
    <n v="13.246023427659701"/>
    <m/>
    <m/>
  </r>
  <r>
    <x v="21"/>
    <n v="43013.25"/>
    <m/>
    <m/>
    <n v="11.483132794713701"/>
    <n v="16.952845722160799"/>
    <m/>
    <m/>
  </r>
  <r>
    <x v="22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1667.52"/>
    <n v="8.2183570449905954"/>
    <n v="101.69733333333301"/>
    <n v="21.274166666666702"/>
    <n v="6.9332921556515803"/>
    <n v="3.44"/>
    <n v="3666.6"/>
    <n v="29030.539999999994"/>
    <n v="2260.5223558093526"/>
    <n v="29741.66"/>
    <n v="41120.97"/>
    <n v="10602.789683121375"/>
    <n v="112419149.06450507"/>
    <n v="-1.4526458366645745"/>
    <n v="-0.23260996540277323"/>
    <n v="31345.73"/>
    <n v="11667.52"/>
    <n v="43013.25"/>
    <x v="0"/>
  </r>
  <r>
    <x v="1"/>
    <n v="12116.16"/>
    <n v="9.8431237126109412"/>
    <n v="111.23125"/>
    <n v="23.438333333333301"/>
    <n v="18.873646209386301"/>
    <n v="3.43"/>
    <n v="1314"/>
    <n v="11.607421311554001"/>
    <n v="0.70041227230648995"/>
    <n v="11.0321388749083"/>
    <m/>
    <n v="3.2096922555205101"/>
    <n v="10.302124375148356"/>
    <n v="1.117361945936485"/>
    <n v="1.1307614734917999"/>
    <n v="11.5334929417879"/>
    <n v="8.0700361066162607"/>
    <n v="19.603529048404187"/>
    <x v="1"/>
  </r>
  <r>
    <x v="2"/>
    <n v="15729.25"/>
    <n v="8.0700361066162607"/>
    <n v="120.57815833333299"/>
    <n v="24.7708333333333"/>
    <n v="12.8765792031099"/>
    <n v="3.45"/>
    <n v="4310.8999999999996"/>
    <n v="178.56476569009965"/>
    <n v="16.920042074218603"/>
    <n v="150.29750000000001"/>
    <m/>
    <n v="77.537373566944368"/>
    <n v="6012.044299659884"/>
    <n v="0.22161058398511191"/>
    <n v="1.2653232791587983"/>
    <n v="257.11346392496398"/>
    <n v="101.69733333333301"/>
    <n v="358.81079725829699"/>
    <x v="1"/>
  </r>
  <r>
    <x v="3"/>
    <n v="16150.74"/>
    <n v="8.896911860833832"/>
    <n v="129.22235000000001"/>
    <n v="20.714166666666699"/>
    <n v="14.0317836131437"/>
    <n v="3.45"/>
    <n v="9954.7999999999993"/>
    <n v="17.619522159525793"/>
    <n v="0.63262092812352622"/>
    <n v="16.898615149010951"/>
    <m/>
    <n v="2.9672551712647124"/>
    <n v="8.804603251397177"/>
    <n v="1.2489712009895415"/>
    <n v="0.63850095920213967"/>
    <n v="13.2877005386196"/>
    <n v="11.483132794713701"/>
    <n v="24.7708333333333"/>
    <x v="0"/>
  </r>
  <r>
    <x v="4"/>
    <n v="17983.38"/>
    <n v="8.4510109671502729"/>
    <n v="132.888025"/>
    <n v="19.1808333333333"/>
    <n v="14.9980338183251"/>
    <n v="3.42"/>
    <n v="11353.8"/>
    <n v="12.342776410672499"/>
    <n v="0.77668413069315456"/>
    <n v="12.3863710622264"/>
    <m/>
    <n v="3.6429714870079324"/>
    <n v="13.271241255152788"/>
    <n v="-0.65071468237637098"/>
    <n v="-6.5599801094729709E-2"/>
    <n v="13.48563824080005"/>
    <n v="5.3880079685862503"/>
    <n v="18.873646209386301"/>
    <x v="0"/>
  </r>
  <r>
    <x v="5"/>
    <n v="19421.14"/>
    <n v="8.4252993464311849"/>
    <n v="131.274333333333"/>
    <n v="17.948333333333299"/>
    <n v="17.863493366160501"/>
    <n v="3.5"/>
    <n v="28504.799999999999"/>
    <n v="4.0069999999999997"/>
    <n v="0.11184364085633261"/>
    <n v="4.0750000000000002"/>
    <n v="3.45"/>
    <n v="0.50017996761166506"/>
    <n v="0.25018000000000629"/>
    <n v="-1.8913333882132897"/>
    <n v="1.2097024090674792E-2"/>
    <n v="1.2599999999999998"/>
    <n v="3.42"/>
    <n v="4.68"/>
    <x v="2"/>
  </r>
  <r>
    <x v="6"/>
    <n v="21079.279999999999"/>
    <n v="8.1110261868305304"/>
    <n v="128.65166666666701"/>
    <n v="16.893333333333299"/>
    <n v="8.2252215201704804"/>
    <n v="3.54"/>
    <n v="16450.2"/>
    <n v="72904.652105263202"/>
    <n v="16712.715403514398"/>
    <n v="50928.3"/>
    <m/>
    <n v="72849.037516074852"/>
    <n v="5306982267.0184822"/>
    <n v="-0.60933849848375976"/>
    <n v="0.92159294801187241"/>
    <n v="206649.32"/>
    <n v="1314"/>
    <n v="207963.32"/>
    <x v="3"/>
  </r>
  <r>
    <x v="7"/>
    <n v="22875.919999999998"/>
    <n v="13.388046235850693"/>
    <n v="125.808108333333"/>
    <n v="16.939166666666701"/>
    <n v="5.3880079685862503"/>
    <n v="3.58"/>
    <n v="22850.2"/>
    <m/>
    <m/>
    <m/>
    <m/>
    <m/>
    <m/>
    <m/>
    <m/>
    <m/>
    <m/>
    <m/>
    <x v="4"/>
  </r>
  <r>
    <x v="8"/>
    <n v="24794.31"/>
    <n v="18.573148455763224"/>
    <n v="118.566666666667"/>
    <n v="15.1358333333333"/>
    <n v="11.5810751748252"/>
    <n v="3.67"/>
    <n v="42753.06"/>
    <m/>
    <m/>
    <m/>
    <m/>
    <m/>
    <m/>
    <m/>
    <m/>
    <m/>
    <m/>
    <m/>
    <x v="4"/>
  </r>
  <r>
    <x v="9"/>
    <n v="26684.73"/>
    <n v="19.603529048404187"/>
    <n v="148.88"/>
    <n v="18.990833333333299"/>
    <n v="12.5549603893497"/>
    <n v="3.99"/>
    <n v="58215.66"/>
    <m/>
    <m/>
    <m/>
    <m/>
    <m/>
    <m/>
    <m/>
    <m/>
    <m/>
    <m/>
    <m/>
    <x v="4"/>
  </r>
  <r>
    <x v="10"/>
    <n v="28673.040000000001"/>
    <n v="13.459395686724115"/>
    <n v="150.29750000000001"/>
    <n v="17.585000000000001"/>
    <n v="13.7202018444406"/>
    <n v="4.16"/>
    <n v="52867.5"/>
    <m/>
    <m/>
    <m/>
    <m/>
    <m/>
    <m/>
    <m/>
    <m/>
    <m/>
    <m/>
    <m/>
    <x v="4"/>
  </r>
  <r>
    <x v="11"/>
    <n v="30810.28"/>
    <n v="11.032138874908338"/>
    <n v="153.86250000000001"/>
    <n v="16.02"/>
    <n v="10.840027541886601"/>
    <n v="4.29"/>
    <n v="50928.3"/>
    <m/>
    <m/>
    <m/>
    <m/>
    <m/>
    <m/>
    <m/>
    <m/>
    <m/>
    <m/>
    <m/>
    <x v="4"/>
  </r>
  <r>
    <x v="12"/>
    <n v="32753.64"/>
    <n v="10.589451705755321"/>
    <n v="157.5"/>
    <n v="16.7916666666667"/>
    <n v="12.217781735103101"/>
    <n v="4.4400000000000004"/>
    <n v="90422.25"/>
    <m/>
    <m/>
    <m/>
    <m/>
    <m/>
    <m/>
    <m/>
    <m/>
    <m/>
    <m/>
    <m/>
    <x v="4"/>
  </r>
  <r>
    <x v="13"/>
    <n v="35504.79"/>
    <n v="11.524427279133695"/>
    <n v="157.31166666666701"/>
    <n v="16.7225"/>
    <n v="8.4758272850289291"/>
    <n v="4.59"/>
    <n v="94055.58"/>
    <m/>
    <m/>
    <m/>
    <m/>
    <m/>
    <m/>
    <m/>
    <m/>
    <m/>
    <m/>
    <m/>
    <x v="4"/>
  </r>
  <r>
    <x v="14"/>
    <n v="38071.29"/>
    <n v="13.290212244116164"/>
    <n v="158.552641666667"/>
    <n v="16.5483333333333"/>
    <n v="8.0624858244499897"/>
    <n v="4.68"/>
    <n v="112110.15"/>
    <m/>
    <m/>
    <m/>
    <m/>
    <m/>
    <m/>
    <m/>
    <m/>
    <m/>
    <m/>
    <m/>
    <x v="4"/>
  </r>
  <r>
    <x v="15"/>
    <n v="39274.730000000003"/>
    <n v="13.066946797666477"/>
    <n v="192.440333333333"/>
    <n v="16.849166666666701"/>
    <n v="9.0093871832678101"/>
    <n v="4.6399999999999997"/>
    <n v="187247.34"/>
    <m/>
    <m/>
    <m/>
    <m/>
    <m/>
    <m/>
    <m/>
    <m/>
    <m/>
    <m/>
    <m/>
    <x v="4"/>
  </r>
  <r>
    <x v="16"/>
    <n v="39381.339999999997"/>
    <n v="14.597205720355793"/>
    <n v="253.49199999999999"/>
    <n v="16.8680157641191"/>
    <n v="15.6753405526234"/>
    <n v="4.59"/>
    <n v="196194.99"/>
    <m/>
    <m/>
    <m/>
    <m/>
    <m/>
    <m/>
    <m/>
    <m/>
    <m/>
    <m/>
    <m/>
    <x v="4"/>
  </r>
  <r>
    <x v="17"/>
    <n v="39906.03"/>
    <n v="12.777270533935381"/>
    <n v="305.79010916000499"/>
    <n v="17.553333333333299"/>
    <n v="16.523539980216899"/>
    <n v="4.5"/>
    <n v="194024.94"/>
    <m/>
    <m/>
    <m/>
    <m/>
    <m/>
    <m/>
    <m/>
    <m/>
    <m/>
    <m/>
    <m/>
    <x v="4"/>
  </r>
  <r>
    <x v="18"/>
    <n v="40539.120000000003"/>
    <n v="10.179511628721635"/>
    <n v="306.08368824523399"/>
    <n v="16.903896964688599"/>
    <n v="12.094731550531799"/>
    <n v="4.42"/>
    <n v="207963.32"/>
    <m/>
    <m/>
    <m/>
    <m/>
    <m/>
    <m/>
    <m/>
    <m/>
    <m/>
    <m/>
    <m/>
    <x v="4"/>
  </r>
  <r>
    <x v="19"/>
    <n v="41120.97"/>
    <n v="10.430729476131484"/>
    <n v="306.92095149522299"/>
    <n v="15.3765869808333"/>
    <n v="11.396794968716801"/>
    <n v="4.3600000000000003"/>
    <m/>
    <m/>
    <m/>
    <m/>
    <m/>
    <m/>
    <m/>
    <m/>
    <m/>
    <m/>
    <m/>
    <m/>
    <x v="4"/>
  </r>
  <r>
    <x v="20"/>
    <n v="41120.97"/>
    <n v="11.228068629703298"/>
    <n v="358.81079725829699"/>
    <n v="13.642021671879601"/>
    <n v="13.246023427659701"/>
    <m/>
    <m/>
    <m/>
    <m/>
    <m/>
    <m/>
    <m/>
    <m/>
    <m/>
    <m/>
    <m/>
    <m/>
    <m/>
    <x v="4"/>
  </r>
  <r>
    <x v="21"/>
    <n v="43013.25"/>
    <m/>
    <m/>
    <n v="11.483132794713701"/>
    <n v="16.952845722160799"/>
    <m/>
    <m/>
    <m/>
    <m/>
    <m/>
    <m/>
    <m/>
    <m/>
    <m/>
    <m/>
    <m/>
    <m/>
    <m/>
    <x v="4"/>
  </r>
  <r>
    <x v="22"/>
    <m/>
    <m/>
    <m/>
    <m/>
    <m/>
    <m/>
    <m/>
    <m/>
    <m/>
    <m/>
    <m/>
    <m/>
    <m/>
    <m/>
    <m/>
    <m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11667.52"/>
    <n v="8.2183570449905954"/>
    <n v="101.69733333333301"/>
    <n v="21.274166666666702"/>
    <n v="6.9332921556515803"/>
    <n v="3.44"/>
    <n v="3666.6"/>
  </r>
  <r>
    <x v="1"/>
    <n v="12116.16"/>
    <n v="9.8431237126109412"/>
    <n v="111.23125"/>
    <n v="23.438333333333301"/>
    <n v="18.873646209386301"/>
    <n v="3.43"/>
    <n v="1314"/>
  </r>
  <r>
    <x v="2"/>
    <n v="15729.25"/>
    <n v="8.0700361066162607"/>
    <n v="120.57815833333299"/>
    <n v="24.7708333333333"/>
    <n v="12.8765792031099"/>
    <n v="3.45"/>
    <n v="4310.8999999999996"/>
  </r>
  <r>
    <x v="3"/>
    <n v="16150.74"/>
    <n v="8.896911860833832"/>
    <n v="129.22235000000001"/>
    <n v="20.714166666666699"/>
    <n v="14.0317836131437"/>
    <n v="3.45"/>
    <n v="9954.7999999999993"/>
  </r>
  <r>
    <x v="4"/>
    <n v="17983.38"/>
    <n v="8.4510109671502729"/>
    <n v="132.888025"/>
    <n v="19.1808333333333"/>
    <n v="14.9980338183251"/>
    <n v="3.42"/>
    <n v="11353.8"/>
  </r>
  <r>
    <x v="5"/>
    <n v="19421.14"/>
    <n v="8.4252993464311849"/>
    <n v="131.274333333333"/>
    <n v="17.948333333333299"/>
    <n v="17.863493366160501"/>
    <n v="3.5"/>
    <n v="28504.799999999999"/>
  </r>
  <r>
    <x v="6"/>
    <n v="21079.279999999999"/>
    <n v="8.1110261868305304"/>
    <n v="128.65166666666701"/>
    <n v="16.893333333333299"/>
    <n v="8.2252215201704804"/>
    <n v="3.54"/>
    <n v="16450.2"/>
  </r>
  <r>
    <x v="7"/>
    <n v="22875.919999999998"/>
    <n v="13.388046235850693"/>
    <n v="125.808108333333"/>
    <n v="16.939166666666701"/>
    <n v="5.3880079685862503"/>
    <n v="3.58"/>
    <n v="22850.2"/>
  </r>
  <r>
    <x v="8"/>
    <n v="24794.31"/>
    <n v="18.573148455763224"/>
    <n v="118.566666666667"/>
    <n v="15.1358333333333"/>
    <n v="11.5810751748252"/>
    <n v="3.67"/>
    <n v="42753.06"/>
  </r>
  <r>
    <x v="9"/>
    <n v="26684.73"/>
    <n v="19.603529048404187"/>
    <n v="148.88"/>
    <n v="18.990833333333299"/>
    <n v="12.5549603893497"/>
    <n v="3.99"/>
    <n v="58215.66"/>
  </r>
  <r>
    <x v="10"/>
    <n v="28673.040000000001"/>
    <n v="13.459395686724115"/>
    <n v="150.29750000000001"/>
    <n v="17.585000000000001"/>
    <n v="13.7202018444406"/>
    <n v="4.16"/>
    <n v="52867.5"/>
  </r>
  <r>
    <x v="11"/>
    <n v="30810.28"/>
    <n v="11.032138874908338"/>
    <n v="153.86250000000001"/>
    <n v="16.02"/>
    <n v="10.840027541886601"/>
    <n v="4.29"/>
    <n v="50928.3"/>
  </r>
  <r>
    <x v="12"/>
    <n v="32753.64"/>
    <n v="10.589451705755321"/>
    <n v="157.5"/>
    <n v="16.7916666666667"/>
    <n v="12.217781735103101"/>
    <n v="4.4400000000000004"/>
    <n v="90422.25"/>
  </r>
  <r>
    <x v="13"/>
    <n v="35504.79"/>
    <n v="11.524427279133695"/>
    <n v="157.31166666666701"/>
    <n v="16.7225"/>
    <n v="8.4758272850289291"/>
    <n v="4.59"/>
    <n v="94055.58"/>
  </r>
  <r>
    <x v="14"/>
    <n v="38071.29"/>
    <n v="13.290212244116164"/>
    <n v="158.552641666667"/>
    <n v="16.5483333333333"/>
    <n v="8.0624858244499897"/>
    <n v="4.68"/>
    <n v="112110.15"/>
  </r>
  <r>
    <x v="15"/>
    <n v="39274.730000000003"/>
    <n v="13.066946797666477"/>
    <n v="192.440333333333"/>
    <n v="16.849166666666701"/>
    <n v="9.0093871832678101"/>
    <n v="4.6399999999999997"/>
    <n v="187247.34"/>
  </r>
  <r>
    <x v="16"/>
    <n v="39381.339999999997"/>
    <n v="14.597205720355793"/>
    <n v="253.49199999999999"/>
    <n v="16.8680157641191"/>
    <n v="15.6753405526234"/>
    <n v="4.59"/>
    <n v="196194.99"/>
  </r>
  <r>
    <x v="17"/>
    <n v="39906.03"/>
    <n v="12.777270533935381"/>
    <n v="305.79010916000499"/>
    <n v="17.553333333333299"/>
    <n v="16.523539980216899"/>
    <n v="4.5"/>
    <n v="194024.94"/>
  </r>
  <r>
    <x v="18"/>
    <n v="40539.120000000003"/>
    <n v="10.179511628721635"/>
    <n v="306.08368824523399"/>
    <n v="16.903896964688599"/>
    <n v="12.094731550531799"/>
    <n v="4.42"/>
    <n v="207963.32"/>
  </r>
  <r>
    <x v="19"/>
    <n v="41120.97"/>
    <n v="10.430729476131484"/>
    <n v="306.92095149522299"/>
    <n v="15.3765869808333"/>
    <n v="11.396794968716801"/>
    <n v="4.3600000000000003"/>
    <m/>
  </r>
  <r>
    <x v="20"/>
    <n v="41120.97"/>
    <n v="11.228068629703298"/>
    <n v="358.81079725829699"/>
    <n v="13.642021671879601"/>
    <n v="13.246023427659701"/>
    <m/>
    <m/>
  </r>
  <r>
    <x v="21"/>
    <n v="43013.25"/>
    <m/>
    <m/>
    <n v="11.483132794713701"/>
    <n v="16.95284572216079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FB49F-B6DF-43D4-A378-D3CE75BD04A4}" name="PivotTable2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E18" firstHeaderRow="0" firstDataRow="1" firstDataCol="1"/>
  <pivotFields count="21">
    <pivotField axis="axisRow" subtotalTop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dataField="1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5">
        <item x="3"/>
        <item x="2"/>
        <item x="1"/>
        <item x="0"/>
        <item h="1" x="4"/>
      </items>
    </pivotField>
    <pivotField subtotalTop="0" dragToRow="0" dragToCol="0" dragToPage="0" showAll="0" defaultSubtotal="0"/>
  </pivotFields>
  <rowFields count="2">
    <field x="0"/>
    <field x="19"/>
  </rowFields>
  <rowItems count="15">
    <i>
      <x/>
    </i>
    <i r="1">
      <x v="3"/>
    </i>
    <i>
      <x v="1"/>
    </i>
    <i r="1">
      <x v="2"/>
    </i>
    <i>
      <x v="2"/>
    </i>
    <i r="1">
      <x v="2"/>
    </i>
    <i>
      <x v="3"/>
    </i>
    <i r="1">
      <x v="3"/>
    </i>
    <i>
      <x v="4"/>
    </i>
    <i r="1">
      <x v="3"/>
    </i>
    <i>
      <x v="5"/>
    </i>
    <i r="1">
      <x v="1"/>
    </i>
    <i>
      <x v="6"/>
    </i>
    <i r="1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EAN  OF DATA" fld="8" baseField="19" baseItem="0" numFmtId="3"/>
    <dataField name="Sum of MEDIAN OF DISTRIBUTION" fld="10" baseField="19" baseItem="0" numFmtId="3"/>
    <dataField name="Sum of MODE OF DISTRIBUTION" fld="11" baseField="19" baseItem="0" numFmtId="3"/>
    <dataField name="Sum of RANGE" fld="16" baseField="19" baseItem="0" numFmtId="3"/>
  </dataFields>
  <chartFormats count="36">
    <chartFormat chart="9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9" count="1" selected="0">
            <x v="3"/>
          </reference>
        </references>
      </pivotArea>
    </chartFormat>
    <chartFormat chart="9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9" count="1" selected="0">
            <x v="2"/>
          </reference>
        </references>
      </pivotArea>
    </chartFormat>
    <chartFormat chart="9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9" count="1" selected="0">
            <x v="2"/>
          </reference>
        </references>
      </pivotArea>
    </chartFormat>
    <chartFormat chart="9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9" count="1" selected="0">
            <x v="3"/>
          </reference>
        </references>
      </pivotArea>
    </chartFormat>
    <chartFormat chart="9" format="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9" count="1" selected="0">
            <x v="3"/>
          </reference>
        </references>
      </pivotArea>
    </chartFormat>
    <chartFormat chart="9" format="4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9" count="1" selected="0">
            <x v="2"/>
          </reference>
        </references>
      </pivotArea>
    </chartFormat>
    <chartFormat chart="9" format="5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9" count="1" selected="0">
            <x v="2"/>
          </reference>
        </references>
      </pivotArea>
    </chartFormat>
    <chartFormat chart="9" format="51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9" count="1" selected="0">
            <x v="3"/>
          </reference>
        </references>
      </pivotArea>
    </chartFormat>
    <chartFormat chart="9" format="5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53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9" count="1" selected="0">
            <x v="3"/>
          </reference>
        </references>
      </pivotArea>
    </chartFormat>
    <chartFormat chart="9" format="54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9" count="1" selected="0">
            <x v="2"/>
          </reference>
        </references>
      </pivotArea>
    </chartFormat>
    <chartFormat chart="9" format="55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9" count="1" selected="0">
            <x v="2"/>
          </reference>
        </references>
      </pivotArea>
    </chartFormat>
    <chartFormat chart="9" format="56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9" count="1" selected="0">
            <x v="3"/>
          </reference>
        </references>
      </pivotArea>
    </chartFormat>
    <chartFormat chart="9" format="57">
      <pivotArea type="data" outline="0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9" count="1" selected="0">
            <x v="3"/>
          </reference>
        </references>
      </pivotArea>
    </chartFormat>
    <chartFormat chart="9" format="58">
      <pivotArea type="data" outline="0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9" count="1" selected="0">
            <x v="0"/>
          </reference>
        </references>
      </pivotArea>
    </chartFormat>
    <chartFormat chart="9" format="5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1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9" count="1" selected="0">
            <x v="3"/>
          </reference>
        </references>
      </pivotArea>
    </chartFormat>
    <chartFormat chart="21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9" count="1" selected="0">
            <x v="2"/>
          </reference>
        </references>
      </pivotArea>
    </chartFormat>
    <chartFormat chart="21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9" count="1" selected="0">
            <x v="2"/>
          </reference>
        </references>
      </pivotArea>
    </chartFormat>
    <chartFormat chart="21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9" count="1" selected="0">
            <x v="3"/>
          </reference>
        </references>
      </pivotArea>
    </chartFormat>
    <chartFormat chart="21" format="1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2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9" count="1" selected="0">
            <x v="3"/>
          </reference>
        </references>
      </pivotArea>
    </chartFormat>
    <chartFormat chart="21" format="12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9" count="1" selected="0">
            <x v="2"/>
          </reference>
        </references>
      </pivotArea>
    </chartFormat>
    <chartFormat chart="21" format="12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9" count="1" selected="0">
            <x v="2"/>
          </reference>
        </references>
      </pivotArea>
    </chartFormat>
    <chartFormat chart="21" format="123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9" count="1" selected="0">
            <x v="3"/>
          </reference>
        </references>
      </pivotArea>
    </chartFormat>
    <chartFormat chart="21" format="1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5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19" count="1" selected="0">
            <x v="3"/>
          </reference>
        </references>
      </pivotArea>
    </chartFormat>
    <chartFormat chart="21" format="126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9" count="1" selected="0">
            <x v="2"/>
          </reference>
        </references>
      </pivotArea>
    </chartFormat>
    <chartFormat chart="21" format="127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19" count="1" selected="0">
            <x v="2"/>
          </reference>
        </references>
      </pivotArea>
    </chartFormat>
    <chartFormat chart="21" format="128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19" count="1" selected="0">
            <x v="3"/>
          </reference>
        </references>
      </pivotArea>
    </chartFormat>
    <chartFormat chart="21" format="129">
      <pivotArea type="data" outline="0" fieldPosition="0">
        <references count="3">
          <reference field="4294967294" count="1" selected="0">
            <x v="2"/>
          </reference>
          <reference field="0" count="1" selected="0">
            <x v="4"/>
          </reference>
          <reference field="19" count="1" selected="0">
            <x v="3"/>
          </reference>
        </references>
      </pivotArea>
    </chartFormat>
    <chartFormat chart="21" format="130">
      <pivotArea type="data" outline="0" fieldPosition="0">
        <references count="3">
          <reference field="4294967294" count="1" selected="0">
            <x v="2"/>
          </reference>
          <reference field="0" count="1" selected="0">
            <x v="6"/>
          </reference>
          <reference field="19" count="1" selected="0">
            <x v="0"/>
          </reference>
        </references>
      </pivotArea>
    </chartFormat>
    <chartFormat chart="21" format="13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F21CA-3C5E-4F14-B116-00B0B2CAD5CC}" name="PivotTable9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C20:E44" firstHeaderRow="0" firstDataRow="1" firstDataCol="1"/>
  <pivotFields count="8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FL" fld="5" subtotal="count" baseField="0" baseItem="0"/>
    <dataField name="Sum of UNEM" fld="6" baseField="0" baseItem="3" numFmtId="3"/>
  </dataFields>
  <chartFormats count="4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333CC-A11C-4BA2-9246-DCB43B490F3F}" name="PivotTable7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G3:I26" firstHeaderRow="0" firstDataRow="1" firstDataCol="1"/>
  <pivotFields count="21">
    <pivotField axis="axisRow" subtotalTop="0" showAll="0" sortType="ascending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</items>
    </pivotField>
    <pivotField subtotalTop="0" showAll="0" defaultSubtotal="0"/>
    <pivotField subtotalTop="0" showAll="0" defaultSubtotal="0"/>
    <pivotField dataField="1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dragToRow="0" dragToCol="0" dragToPage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R" fld="3" baseField="0" baseItem="0"/>
    <dataField name="Sum of IR" fld="4" baseField="0" baseItem="0"/>
  </dataFields>
  <chartFormats count="7">
    <chartFormat chart="1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4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24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</chartFormats>
  <pivotTableStyleInfo name="PivotStyleLight16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16FB7-F14F-4290-A985-14BE578F395E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4:J27" firstHeaderRow="0" firstDataRow="1" firstDataCol="1"/>
  <pivotFields count="8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EM" fld="6" baseField="0" baseItem="0"/>
    <dataField name="Sum of MICRO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49E51-07C0-4619-9E3B-F49ED0134C6A}" name="PivotTable1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6" firstHeaderRow="0" firstDataRow="1" firstDataCol="1"/>
  <pivotFields count="8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FL" fld="5" baseField="0" baseItem="8" numFmtId="3"/>
    <dataField name="Sum of IR" fld="4" baseField="0" baseItem="9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AA6F2-DA85-4353-9989-B2AB8A2A77B9}" name="Table2" displayName="Table2" ref="A1:H16" totalsRowShown="0" headerRowDxfId="8" headerRowBorderDxfId="7" tableBorderDxfId="6">
  <autoFilter ref="A1:H16" xr:uid="{8B4AA6F2-DA85-4353-9989-B2AB8A2A77B9}"/>
  <tableColumns count="8">
    <tableColumn id="1" xr3:uid="{6FA0501F-333F-4BA6-B680-D7AC5C75D31C}" name="Column1"/>
    <tableColumn id="2" xr3:uid="{42434B48-669E-4254-B0BC-5031BEB310C7}" name="Column2"/>
    <tableColumn id="3" xr3:uid="{07225478-D60A-4A24-B1DB-FB3F41C18B31}" name="Column3"/>
    <tableColumn id="4" xr3:uid="{AD643BD7-DD99-46A7-9A32-D4F71693BC68}" name="Column4"/>
    <tableColumn id="5" xr3:uid="{F5380B65-9FF3-47EF-9A18-875A46B48F9B}" name="Column5"/>
    <tableColumn id="6" xr3:uid="{5EA82367-864B-4019-B77A-6CD26F397C02}" name="Column6"/>
    <tableColumn id="7" xr3:uid="{0D839790-B7C3-4FF6-B36D-E4A181A950FD}" name="Column7"/>
    <tableColumn id="8" xr3:uid="{38572463-7188-4DA0-85A9-B3BE726EA130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B41583-ED68-4FA1-A41F-F7577C59592D}" name="Table3" displayName="Table3" ref="A1:T23" totalsRowShown="0" headerRowDxfId="5">
  <autoFilter ref="A1:T23" xr:uid="{46B41583-ED68-4FA1-A41F-F7577C59592D}"/>
  <tableColumns count="20">
    <tableColumn id="1" xr3:uid="{16B20165-4790-43FE-91CE-C0981D960225}" name="YEAR" dataDxfId="4"/>
    <tableColumn id="2" xr3:uid="{0FC21455-B003-4310-A89B-E5EC16C8E287}" name="SMEG"/>
    <tableColumn id="3" xr3:uid="{353EE8D1-A84D-4021-A84A-AADB22F07B5C}" name="CLS"/>
    <tableColumn id="4" xr3:uid="{3AF5CC74-2B54-46BB-BA8E-CCC963BAD047}" name="EXR"/>
    <tableColumn id="5" xr3:uid="{AC7CB87A-9AA2-4F81-A719-DF60BD3F884B}" name="IR"/>
    <tableColumn id="6" xr3:uid="{504682B7-64D9-43F1-8CC0-C16EA2F5F7A5}" name="INFL"/>
    <tableColumn id="7" xr3:uid="{AF0CA52E-D089-41EE-87B0-5BD224BBB9A3}" name="UNEM" dataDxfId="3"/>
    <tableColumn id="8" xr3:uid="{6EF6B177-FF24-4786-8124-DF7B19D25BB1}" name="MICRO"/>
    <tableColumn id="9" xr3:uid="{F814E5CA-BEBC-4B5A-AB3D-1E9EF25A28D9}" name="MEAN  OF DATA"/>
    <tableColumn id="10" xr3:uid="{9A05F914-C0D5-4E84-B84C-E1E9893CDE7B}" name="STD. ERROR OF THE DISTRIBUTION"/>
    <tableColumn id="11" xr3:uid="{C3273FBA-E021-41EA-B088-DF9D4AEABB3B}" name="MEDIAN OF DISTRIBUTION"/>
    <tableColumn id="12" xr3:uid="{D26A2CDF-B24F-4E2E-9F9B-AE8D9D96738C}" name="MODE OF DISTRIBUTION"/>
    <tableColumn id="13" xr3:uid="{195497DE-AC5C-4F5A-87F2-A5BF5D3AC95C}" name="STD. DEVIATION"/>
    <tableColumn id="14" xr3:uid="{AD084AD8-C6C4-45F8-A121-C47808553BC1}" name="SAMPLE VARIANCE"/>
    <tableColumn id="15" xr3:uid="{8F82927D-11ED-4663-A4DE-27516AF51777}" name="KURTOSIS"/>
    <tableColumn id="16" xr3:uid="{167A1F0D-00D4-4C0E-A9CB-BBD3B9B16402}" name="SKEWNESS"/>
    <tableColumn id="17" xr3:uid="{6ACE7D2B-F689-497A-9EEE-10EE03E098EE}" name="RANGE"/>
    <tableColumn id="18" xr3:uid="{B22A02FC-F5DA-4188-ACA9-9CB20B843DA5}" name="MINIMUM"/>
    <tableColumn id="19" xr3:uid="{D9F0252A-866A-4F28-839C-E1AC8EAF2A32}" name="MAXIMUM"/>
    <tableColumn id="20" xr3:uid="{CD7C0B8D-42A7-419F-85E6-10E4626C5E17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2B7C7-ECE9-43E1-A855-2BA58C15534F}" name="New" displayName="New" ref="A1:H23" totalsRowShown="0" headerRowDxfId="2">
  <autoFilter ref="A1:H23" xr:uid="{BED2B7C7-ECE9-43E1-A855-2BA58C15534F}"/>
  <tableColumns count="8">
    <tableColumn id="1" xr3:uid="{C46D4439-413C-4296-AE27-DD6F9E008969}" name="YEAR" dataDxfId="1"/>
    <tableColumn id="2" xr3:uid="{1327FF76-B01A-4396-A286-CF4F8CC60CAD}" name="SMEG"/>
    <tableColumn id="3" xr3:uid="{814C4E73-7094-4DED-B69D-4EDB4A0BBFD8}" name="CLS"/>
    <tableColumn id="4" xr3:uid="{B8336216-A5A2-418C-8AE1-6DA54280E35B}" name="EXR"/>
    <tableColumn id="5" xr3:uid="{E1ECE592-2DA1-4925-B7AE-F66C81E12559}" name="IR"/>
    <tableColumn id="6" xr3:uid="{81430E25-BE97-4205-B6B4-20FE8A38F7C1}" name="INFL"/>
    <tableColumn id="7" xr3:uid="{32F51A54-4BF7-4CD8-B2FF-976492864B48}" name="UNEM" dataDxfId="0"/>
    <tableColumn id="8" xr3:uid="{7707A2A1-8E5F-4AF8-B61F-9FB146BB1CAE}" name="MIC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5FCE-6370-4200-BC0D-B9A8715F0666}">
  <dimension ref="A1:H16"/>
  <sheetViews>
    <sheetView workbookViewId="0">
      <selection activeCell="G3" sqref="G3"/>
    </sheetView>
  </sheetViews>
  <sheetFormatPr defaultRowHeight="15" x14ac:dyDescent="0.25"/>
  <cols>
    <col min="1" max="1" width="22" customWidth="1"/>
    <col min="2" max="2" width="16.85546875" customWidth="1"/>
    <col min="3" max="3" width="13.42578125" customWidth="1"/>
    <col min="4" max="4" width="19.5703125" customWidth="1"/>
    <col min="5" max="5" width="15.85546875" customWidth="1"/>
    <col min="6" max="6" width="16.140625" customWidth="1"/>
    <col min="7" max="7" width="15.7109375" customWidth="1"/>
    <col min="8" max="8" width="18.5703125" customWidth="1"/>
  </cols>
  <sheetData>
    <row r="1" spans="1:8" ht="15.75" thickBot="1" x14ac:dyDescent="0.3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spans="1:8" x14ac:dyDescent="0.25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4" spans="1:8" x14ac:dyDescent="0.25">
      <c r="A4" t="s">
        <v>8</v>
      </c>
      <c r="B4">
        <v>29030.539999999994</v>
      </c>
      <c r="C4">
        <v>11.607421311553972</v>
      </c>
      <c r="D4">
        <v>178.56476569009965</v>
      </c>
      <c r="E4">
        <v>17.619522159525793</v>
      </c>
      <c r="F4">
        <v>12.342776410672508</v>
      </c>
      <c r="G4">
        <v>4.0069999999999997</v>
      </c>
      <c r="H4">
        <v>72904.652105263158</v>
      </c>
    </row>
    <row r="5" spans="1:8" x14ac:dyDescent="0.25">
      <c r="A5" t="s">
        <v>19</v>
      </c>
      <c r="B5">
        <v>2260.5223558093526</v>
      </c>
      <c r="C5">
        <v>0.70041227230649006</v>
      </c>
      <c r="D5">
        <v>16.920042074218603</v>
      </c>
      <c r="E5">
        <v>0.63262092812352622</v>
      </c>
      <c r="F5">
        <v>0.77668413069315456</v>
      </c>
      <c r="G5">
        <v>0.11184364085633261</v>
      </c>
      <c r="H5">
        <v>16712.715403514398</v>
      </c>
    </row>
    <row r="6" spans="1:8" x14ac:dyDescent="0.25">
      <c r="A6" t="s">
        <v>9</v>
      </c>
      <c r="B6">
        <v>29741.66</v>
      </c>
      <c r="C6">
        <v>11.032138874908338</v>
      </c>
      <c r="D6">
        <v>150.29750000000001</v>
      </c>
      <c r="E6">
        <v>16.898615149010951</v>
      </c>
      <c r="F6">
        <v>12.3863710622264</v>
      </c>
      <c r="G6">
        <v>4.0750000000000002</v>
      </c>
      <c r="H6">
        <v>50928.3</v>
      </c>
    </row>
    <row r="7" spans="1:8" x14ac:dyDescent="0.25">
      <c r="A7" t="s">
        <v>18</v>
      </c>
      <c r="B7">
        <v>41120.97</v>
      </c>
      <c r="G7">
        <v>3.45</v>
      </c>
    </row>
    <row r="8" spans="1:8" x14ac:dyDescent="0.25">
      <c r="A8" t="s">
        <v>17</v>
      </c>
      <c r="B8">
        <v>10602.789683121375</v>
      </c>
      <c r="C8">
        <v>3.2096922555205127</v>
      </c>
      <c r="D8">
        <v>77.537373566944368</v>
      </c>
      <c r="E8">
        <v>2.9672551712647124</v>
      </c>
      <c r="F8">
        <v>3.6429714870079324</v>
      </c>
      <c r="G8">
        <v>0.50017996761166506</v>
      </c>
      <c r="H8">
        <v>72849.037516074852</v>
      </c>
    </row>
    <row r="9" spans="1:8" x14ac:dyDescent="0.25">
      <c r="A9" t="s">
        <v>16</v>
      </c>
      <c r="B9">
        <v>112419149.06450507</v>
      </c>
      <c r="C9">
        <v>10.302124375148356</v>
      </c>
      <c r="D9">
        <v>6012.044299659884</v>
      </c>
      <c r="E9">
        <v>8.804603251397177</v>
      </c>
      <c r="F9">
        <v>13.271241255152788</v>
      </c>
      <c r="G9">
        <v>0.25018000000000629</v>
      </c>
      <c r="H9">
        <v>5306982267.0184822</v>
      </c>
    </row>
    <row r="10" spans="1:8" x14ac:dyDescent="0.25">
      <c r="A10" t="s">
        <v>13</v>
      </c>
      <c r="B10">
        <v>-1.4526458366645745</v>
      </c>
      <c r="C10">
        <v>1.117361945936485</v>
      </c>
      <c r="D10">
        <v>0.22161058398511191</v>
      </c>
      <c r="E10">
        <v>1.2489712009895415</v>
      </c>
      <c r="F10">
        <v>-0.65071468237637076</v>
      </c>
      <c r="G10">
        <v>-1.8913333882132897</v>
      </c>
      <c r="H10">
        <v>-0.60933849848375976</v>
      </c>
    </row>
    <row r="11" spans="1:8" x14ac:dyDescent="0.25">
      <c r="A11" t="s">
        <v>12</v>
      </c>
      <c r="B11">
        <v>-0.23260996540277323</v>
      </c>
      <c r="C11">
        <v>1.1307614734918001</v>
      </c>
      <c r="D11">
        <v>1.2653232791587983</v>
      </c>
      <c r="E11">
        <v>0.63850095920213967</v>
      </c>
      <c r="F11">
        <v>-6.5599801094729709E-2</v>
      </c>
      <c r="G11">
        <v>1.2097024090674792E-2</v>
      </c>
      <c r="H11">
        <v>0.92159294801187241</v>
      </c>
    </row>
    <row r="12" spans="1:8" x14ac:dyDescent="0.25">
      <c r="A12" t="s">
        <v>15</v>
      </c>
      <c r="B12">
        <v>31345.73</v>
      </c>
      <c r="C12">
        <v>11.533492941787927</v>
      </c>
      <c r="D12">
        <v>257.11346392496398</v>
      </c>
      <c r="E12">
        <v>13.2877005386196</v>
      </c>
      <c r="F12">
        <v>13.48563824080005</v>
      </c>
      <c r="G12">
        <v>1.2599999999999998</v>
      </c>
      <c r="H12">
        <v>206649.32</v>
      </c>
    </row>
    <row r="13" spans="1:8" x14ac:dyDescent="0.25">
      <c r="A13" t="s">
        <v>11</v>
      </c>
      <c r="B13">
        <v>11667.52</v>
      </c>
      <c r="C13">
        <v>8.0700361066162607</v>
      </c>
      <c r="D13">
        <v>101.69733333333301</v>
      </c>
      <c r="E13">
        <v>11.483132794713701</v>
      </c>
      <c r="F13">
        <v>5.3880079685862503</v>
      </c>
      <c r="G13">
        <v>3.42</v>
      </c>
      <c r="H13">
        <v>1314</v>
      </c>
    </row>
    <row r="14" spans="1:8" x14ac:dyDescent="0.25">
      <c r="A14" t="s">
        <v>10</v>
      </c>
      <c r="B14">
        <v>43013.25</v>
      </c>
      <c r="C14">
        <v>19.603529048404187</v>
      </c>
      <c r="D14">
        <v>358.81079725829699</v>
      </c>
      <c r="E14">
        <v>24.7708333333333</v>
      </c>
      <c r="F14">
        <v>18.873646209386301</v>
      </c>
      <c r="G14">
        <v>4.68</v>
      </c>
      <c r="H14">
        <v>207963.32</v>
      </c>
    </row>
    <row r="15" spans="1:8" x14ac:dyDescent="0.25">
      <c r="A15" t="s">
        <v>14</v>
      </c>
      <c r="B15">
        <v>638671.87999999989</v>
      </c>
      <c r="C15">
        <v>243.7558475426334</v>
      </c>
      <c r="D15">
        <v>3749.8600794920926</v>
      </c>
      <c r="E15">
        <v>387.62948750956747</v>
      </c>
      <c r="F15">
        <v>271.54108103479518</v>
      </c>
      <c r="G15">
        <v>80.139999999999986</v>
      </c>
      <c r="H15">
        <v>1385188.3900000001</v>
      </c>
    </row>
    <row r="16" spans="1:8" x14ac:dyDescent="0.25">
      <c r="A16" t="s">
        <v>20</v>
      </c>
      <c r="B16">
        <v>22</v>
      </c>
      <c r="C16">
        <v>21</v>
      </c>
      <c r="D16">
        <v>21</v>
      </c>
      <c r="E16">
        <v>22</v>
      </c>
      <c r="F16">
        <v>22</v>
      </c>
      <c r="G16">
        <v>20</v>
      </c>
      <c r="H16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CCD6-6C73-42B3-8879-7BEF032D653E}">
  <dimension ref="A3:I44"/>
  <sheetViews>
    <sheetView topLeftCell="B1" workbookViewId="0">
      <selection activeCell="H5" sqref="H5"/>
    </sheetView>
  </sheetViews>
  <sheetFormatPr defaultRowHeight="15" x14ac:dyDescent="0.25"/>
  <cols>
    <col min="1" max="1" width="13.140625" bestFit="1" customWidth="1"/>
    <col min="2" max="2" width="22.140625" bestFit="1" customWidth="1"/>
    <col min="3" max="3" width="31.5703125" bestFit="1" customWidth="1"/>
    <col min="4" max="4" width="29.7109375" bestFit="1" customWidth="1"/>
    <col min="5" max="5" width="14" bestFit="1" customWidth="1"/>
    <col min="6" max="6" width="12.140625" bestFit="1" customWidth="1"/>
    <col min="7" max="7" width="13.140625" bestFit="1" customWidth="1"/>
    <col min="8" max="15" width="12" bestFit="1" customWidth="1"/>
    <col min="16" max="16" width="15.85546875" bestFit="1" customWidth="1"/>
    <col min="17" max="17" width="14.28515625" bestFit="1" customWidth="1"/>
    <col min="18" max="18" width="17.42578125" bestFit="1" customWidth="1"/>
    <col min="19" max="19" width="17.85546875" bestFit="1" customWidth="1"/>
    <col min="20" max="20" width="15.5703125" bestFit="1" customWidth="1"/>
    <col min="21" max="21" width="22.42578125" bestFit="1" customWidth="1"/>
    <col min="22" max="22" width="22.85546875" bestFit="1" customWidth="1"/>
    <col min="23" max="23" width="14" bestFit="1" customWidth="1"/>
    <col min="24" max="24" width="27.140625" bestFit="1" customWidth="1"/>
    <col min="25" max="25" width="36.5703125" bestFit="1" customWidth="1"/>
    <col min="26" max="26" width="34.7109375" bestFit="1" customWidth="1"/>
    <col min="27" max="27" width="19" bestFit="1" customWidth="1"/>
  </cols>
  <sheetData>
    <row r="3" spans="1:9" x14ac:dyDescent="0.25">
      <c r="A3" s="4" t="s">
        <v>22</v>
      </c>
      <c r="B3" t="s">
        <v>31</v>
      </c>
      <c r="C3" t="s">
        <v>32</v>
      </c>
      <c r="D3" t="s">
        <v>33</v>
      </c>
      <c r="E3" t="s">
        <v>34</v>
      </c>
      <c r="G3" s="4" t="s">
        <v>22</v>
      </c>
      <c r="H3" t="s">
        <v>36</v>
      </c>
      <c r="I3" t="s">
        <v>37</v>
      </c>
    </row>
    <row r="4" spans="1:9" x14ac:dyDescent="0.25">
      <c r="A4" s="5">
        <v>2000</v>
      </c>
      <c r="B4" s="6"/>
      <c r="C4" s="6"/>
      <c r="D4" s="6"/>
      <c r="E4" s="6"/>
      <c r="G4" s="5">
        <v>2000</v>
      </c>
      <c r="H4">
        <v>101.69733333333301</v>
      </c>
      <c r="I4">
        <v>21.274166666666702</v>
      </c>
    </row>
    <row r="5" spans="1:9" x14ac:dyDescent="0.25">
      <c r="A5" s="7">
        <v>22</v>
      </c>
      <c r="B5" s="6">
        <v>29030.539999999994</v>
      </c>
      <c r="C5" s="6">
        <v>29741.66</v>
      </c>
      <c r="D5" s="6">
        <v>41120.97</v>
      </c>
      <c r="E5" s="6">
        <v>31345.73</v>
      </c>
      <c r="G5" s="5">
        <v>2001</v>
      </c>
      <c r="H5">
        <v>111.23125</v>
      </c>
      <c r="I5">
        <v>23.438333333333301</v>
      </c>
    </row>
    <row r="6" spans="1:9" x14ac:dyDescent="0.25">
      <c r="A6" s="5">
        <v>2001</v>
      </c>
      <c r="B6" s="6"/>
      <c r="C6" s="6"/>
      <c r="D6" s="6"/>
      <c r="E6" s="6"/>
      <c r="G6" s="5">
        <v>2002</v>
      </c>
      <c r="H6">
        <v>120.57815833333299</v>
      </c>
      <c r="I6">
        <v>24.7708333333333</v>
      </c>
    </row>
    <row r="7" spans="1:9" x14ac:dyDescent="0.25">
      <c r="A7" s="7">
        <v>21</v>
      </c>
      <c r="B7" s="6">
        <v>11.607421311554001</v>
      </c>
      <c r="C7" s="6">
        <v>11.0321388749083</v>
      </c>
      <c r="D7" s="6"/>
      <c r="E7" s="6">
        <v>11.5334929417879</v>
      </c>
      <c r="G7" s="5">
        <v>2003</v>
      </c>
      <c r="H7">
        <v>129.22235000000001</v>
      </c>
      <c r="I7">
        <v>20.714166666666699</v>
      </c>
    </row>
    <row r="8" spans="1:9" x14ac:dyDescent="0.25">
      <c r="A8" s="5">
        <v>2002</v>
      </c>
      <c r="B8" s="6"/>
      <c r="C8" s="6"/>
      <c r="D8" s="6"/>
      <c r="E8" s="6"/>
      <c r="G8" s="5">
        <v>2004</v>
      </c>
      <c r="H8">
        <v>132.888025</v>
      </c>
      <c r="I8">
        <v>19.1808333333333</v>
      </c>
    </row>
    <row r="9" spans="1:9" x14ac:dyDescent="0.25">
      <c r="A9" s="7">
        <v>21</v>
      </c>
      <c r="B9" s="6">
        <v>178.56476569009965</v>
      </c>
      <c r="C9" s="6">
        <v>150.29750000000001</v>
      </c>
      <c r="D9" s="6"/>
      <c r="E9" s="6">
        <v>257.11346392496398</v>
      </c>
      <c r="G9" s="5">
        <v>2005</v>
      </c>
      <c r="H9">
        <v>131.274333333333</v>
      </c>
      <c r="I9">
        <v>17.948333333333299</v>
      </c>
    </row>
    <row r="10" spans="1:9" x14ac:dyDescent="0.25">
      <c r="A10" s="5">
        <v>2003</v>
      </c>
      <c r="B10" s="6"/>
      <c r="C10" s="6"/>
      <c r="D10" s="6"/>
      <c r="E10" s="6"/>
      <c r="G10" s="5">
        <v>2006</v>
      </c>
      <c r="H10">
        <v>128.65166666666701</v>
      </c>
      <c r="I10">
        <v>16.893333333333299</v>
      </c>
    </row>
    <row r="11" spans="1:9" x14ac:dyDescent="0.25">
      <c r="A11" s="7">
        <v>22</v>
      </c>
      <c r="B11" s="6">
        <v>17.619522159525793</v>
      </c>
      <c r="C11" s="6">
        <v>16.898615149010951</v>
      </c>
      <c r="D11" s="6"/>
      <c r="E11" s="6">
        <v>13.2877005386196</v>
      </c>
      <c r="G11" s="5">
        <v>2007</v>
      </c>
      <c r="H11">
        <v>125.808108333333</v>
      </c>
      <c r="I11">
        <v>16.939166666666701</v>
      </c>
    </row>
    <row r="12" spans="1:9" x14ac:dyDescent="0.25">
      <c r="A12" s="5">
        <v>2004</v>
      </c>
      <c r="B12" s="6"/>
      <c r="C12" s="6"/>
      <c r="D12" s="6"/>
      <c r="E12" s="6"/>
      <c r="G12" s="5">
        <v>2008</v>
      </c>
      <c r="H12">
        <v>118.566666666667</v>
      </c>
      <c r="I12">
        <v>15.1358333333333</v>
      </c>
    </row>
    <row r="13" spans="1:9" x14ac:dyDescent="0.25">
      <c r="A13" s="7">
        <v>22</v>
      </c>
      <c r="B13" s="6">
        <v>12.342776410672499</v>
      </c>
      <c r="C13" s="6">
        <v>12.3863710622264</v>
      </c>
      <c r="D13" s="6"/>
      <c r="E13" s="6">
        <v>13.48563824080005</v>
      </c>
      <c r="G13" s="5">
        <v>2009</v>
      </c>
      <c r="H13">
        <v>148.88</v>
      </c>
      <c r="I13">
        <v>18.990833333333299</v>
      </c>
    </row>
    <row r="14" spans="1:9" x14ac:dyDescent="0.25">
      <c r="A14" s="5">
        <v>2005</v>
      </c>
      <c r="B14" s="6"/>
      <c r="C14" s="6"/>
      <c r="D14" s="6"/>
      <c r="E14" s="6"/>
      <c r="G14" s="5">
        <v>2010</v>
      </c>
      <c r="H14">
        <v>150.29750000000001</v>
      </c>
      <c r="I14">
        <v>17.585000000000001</v>
      </c>
    </row>
    <row r="15" spans="1:9" x14ac:dyDescent="0.25">
      <c r="A15" s="7">
        <v>20</v>
      </c>
      <c r="B15" s="6">
        <v>4.0069999999999997</v>
      </c>
      <c r="C15" s="6">
        <v>4.0750000000000002</v>
      </c>
      <c r="D15" s="6">
        <v>3.45</v>
      </c>
      <c r="E15" s="6">
        <v>1.2599999999999998</v>
      </c>
      <c r="G15" s="5">
        <v>2011</v>
      </c>
      <c r="H15">
        <v>153.86250000000001</v>
      </c>
      <c r="I15">
        <v>16.02</v>
      </c>
    </row>
    <row r="16" spans="1:9" x14ac:dyDescent="0.25">
      <c r="A16" s="5">
        <v>2006</v>
      </c>
      <c r="B16" s="6"/>
      <c r="C16" s="6"/>
      <c r="D16" s="6"/>
      <c r="E16" s="6"/>
      <c r="G16" s="5">
        <v>2012</v>
      </c>
      <c r="H16">
        <v>157.5</v>
      </c>
      <c r="I16">
        <v>16.7916666666667</v>
      </c>
    </row>
    <row r="17" spans="1:9" x14ac:dyDescent="0.25">
      <c r="A17" s="7">
        <v>19</v>
      </c>
      <c r="B17" s="6">
        <v>72904.652105263202</v>
      </c>
      <c r="C17" s="6">
        <v>50928.3</v>
      </c>
      <c r="D17" s="6"/>
      <c r="E17" s="6">
        <v>206649.32</v>
      </c>
      <c r="G17" s="5">
        <v>2013</v>
      </c>
      <c r="H17">
        <v>157.31166666666701</v>
      </c>
      <c r="I17">
        <v>16.7225</v>
      </c>
    </row>
    <row r="18" spans="1:9" x14ac:dyDescent="0.25">
      <c r="A18" s="5" t="s">
        <v>24</v>
      </c>
      <c r="B18" s="6">
        <v>102159.33359083504</v>
      </c>
      <c r="C18" s="6">
        <v>80864.649625086153</v>
      </c>
      <c r="D18" s="6">
        <v>41124.42</v>
      </c>
      <c r="E18" s="6">
        <v>238291.73029564618</v>
      </c>
      <c r="G18" s="5">
        <v>2014</v>
      </c>
      <c r="H18">
        <v>158.552641666667</v>
      </c>
      <c r="I18">
        <v>16.5483333333333</v>
      </c>
    </row>
    <row r="19" spans="1:9" x14ac:dyDescent="0.25">
      <c r="G19" s="5">
        <v>2015</v>
      </c>
      <c r="H19">
        <v>192.440333333333</v>
      </c>
      <c r="I19">
        <v>16.849166666666701</v>
      </c>
    </row>
    <row r="20" spans="1:9" x14ac:dyDescent="0.25">
      <c r="C20" s="4" t="s">
        <v>22</v>
      </c>
      <c r="D20" s="4" t="s">
        <v>35</v>
      </c>
      <c r="E20" t="s">
        <v>21</v>
      </c>
      <c r="G20" s="5">
        <v>2016</v>
      </c>
      <c r="H20">
        <v>253.49199999999999</v>
      </c>
      <c r="I20">
        <v>16.8680157641191</v>
      </c>
    </row>
    <row r="21" spans="1:9" x14ac:dyDescent="0.25">
      <c r="C21" s="5">
        <v>2000</v>
      </c>
      <c r="D21">
        <v>1</v>
      </c>
      <c r="E21" s="6">
        <v>3.44</v>
      </c>
      <c r="G21" s="5">
        <v>2017</v>
      </c>
      <c r="H21">
        <v>305.79010916000499</v>
      </c>
      <c r="I21">
        <v>17.553333333333299</v>
      </c>
    </row>
    <row r="22" spans="1:9" x14ac:dyDescent="0.25">
      <c r="C22" s="5">
        <v>2001</v>
      </c>
      <c r="D22">
        <v>1</v>
      </c>
      <c r="E22" s="6">
        <v>3.43</v>
      </c>
      <c r="G22" s="5">
        <v>2018</v>
      </c>
      <c r="H22">
        <v>306.08368824523399</v>
      </c>
      <c r="I22">
        <v>16.903896964688599</v>
      </c>
    </row>
    <row r="23" spans="1:9" x14ac:dyDescent="0.25">
      <c r="C23" s="5">
        <v>2002</v>
      </c>
      <c r="D23">
        <v>1</v>
      </c>
      <c r="E23" s="6">
        <v>3.45</v>
      </c>
      <c r="G23" s="5">
        <v>2019</v>
      </c>
      <c r="H23">
        <v>306.92095149522299</v>
      </c>
      <c r="I23">
        <v>15.3765869808333</v>
      </c>
    </row>
    <row r="24" spans="1:9" x14ac:dyDescent="0.25">
      <c r="C24" s="5">
        <v>2003</v>
      </c>
      <c r="D24">
        <v>1</v>
      </c>
      <c r="E24" s="6">
        <v>3.45</v>
      </c>
      <c r="G24" s="5">
        <v>2020</v>
      </c>
      <c r="H24">
        <v>358.81079725829699</v>
      </c>
      <c r="I24">
        <v>13.642021671879601</v>
      </c>
    </row>
    <row r="25" spans="1:9" x14ac:dyDescent="0.25">
      <c r="C25" s="5">
        <v>2004</v>
      </c>
      <c r="D25">
        <v>1</v>
      </c>
      <c r="E25" s="6">
        <v>3.42</v>
      </c>
      <c r="G25" s="5">
        <v>2021</v>
      </c>
      <c r="I25">
        <v>11.483132794713701</v>
      </c>
    </row>
    <row r="26" spans="1:9" x14ac:dyDescent="0.25">
      <c r="C26" s="5">
        <v>2005</v>
      </c>
      <c r="D26">
        <v>1</v>
      </c>
      <c r="E26" s="6">
        <v>3.5</v>
      </c>
      <c r="G26" s="5" t="s">
        <v>24</v>
      </c>
      <c r="H26">
        <v>3749.8600794920926</v>
      </c>
      <c r="I26">
        <v>387.62948750956747</v>
      </c>
    </row>
    <row r="27" spans="1:9" x14ac:dyDescent="0.25">
      <c r="C27" s="5">
        <v>2006</v>
      </c>
      <c r="D27">
        <v>1</v>
      </c>
      <c r="E27" s="6">
        <v>3.54</v>
      </c>
    </row>
    <row r="28" spans="1:9" x14ac:dyDescent="0.25">
      <c r="C28" s="5">
        <v>2007</v>
      </c>
      <c r="D28">
        <v>1</v>
      </c>
      <c r="E28" s="6">
        <v>3.58</v>
      </c>
    </row>
    <row r="29" spans="1:9" x14ac:dyDescent="0.25">
      <c r="C29" s="5">
        <v>2008</v>
      </c>
      <c r="D29">
        <v>1</v>
      </c>
      <c r="E29" s="6">
        <v>3.67</v>
      </c>
    </row>
    <row r="30" spans="1:9" x14ac:dyDescent="0.25">
      <c r="C30" s="5">
        <v>2009</v>
      </c>
      <c r="D30">
        <v>1</v>
      </c>
      <c r="E30" s="6">
        <v>3.99</v>
      </c>
    </row>
    <row r="31" spans="1:9" x14ac:dyDescent="0.25">
      <c r="C31" s="5">
        <v>2010</v>
      </c>
      <c r="D31">
        <v>1</v>
      </c>
      <c r="E31" s="6">
        <v>4.16</v>
      </c>
    </row>
    <row r="32" spans="1:9" x14ac:dyDescent="0.25">
      <c r="C32" s="5">
        <v>2011</v>
      </c>
      <c r="D32">
        <v>1</v>
      </c>
      <c r="E32" s="6">
        <v>4.29</v>
      </c>
    </row>
    <row r="33" spans="3:5" x14ac:dyDescent="0.25">
      <c r="C33" s="5">
        <v>2012</v>
      </c>
      <c r="D33">
        <v>1</v>
      </c>
      <c r="E33" s="6">
        <v>4.4400000000000004</v>
      </c>
    </row>
    <row r="34" spans="3:5" x14ac:dyDescent="0.25">
      <c r="C34" s="5">
        <v>2013</v>
      </c>
      <c r="D34">
        <v>1</v>
      </c>
      <c r="E34" s="6">
        <v>4.59</v>
      </c>
    </row>
    <row r="35" spans="3:5" x14ac:dyDescent="0.25">
      <c r="C35" s="5">
        <v>2014</v>
      </c>
      <c r="D35">
        <v>1</v>
      </c>
      <c r="E35" s="6">
        <v>4.68</v>
      </c>
    </row>
    <row r="36" spans="3:5" x14ac:dyDescent="0.25">
      <c r="C36" s="5">
        <v>2015</v>
      </c>
      <c r="D36">
        <v>1</v>
      </c>
      <c r="E36" s="6">
        <v>4.6399999999999997</v>
      </c>
    </row>
    <row r="37" spans="3:5" x14ac:dyDescent="0.25">
      <c r="C37" s="5">
        <v>2016</v>
      </c>
      <c r="D37">
        <v>1</v>
      </c>
      <c r="E37" s="6">
        <v>4.59</v>
      </c>
    </row>
    <row r="38" spans="3:5" x14ac:dyDescent="0.25">
      <c r="C38" s="5">
        <v>2017</v>
      </c>
      <c r="D38">
        <v>1</v>
      </c>
      <c r="E38" s="6">
        <v>4.5</v>
      </c>
    </row>
    <row r="39" spans="3:5" x14ac:dyDescent="0.25">
      <c r="C39" s="5">
        <v>2018</v>
      </c>
      <c r="D39">
        <v>1</v>
      </c>
      <c r="E39" s="6">
        <v>4.42</v>
      </c>
    </row>
    <row r="40" spans="3:5" x14ac:dyDescent="0.25">
      <c r="C40" s="5">
        <v>2019</v>
      </c>
      <c r="D40">
        <v>1</v>
      </c>
      <c r="E40" s="6">
        <v>4.3600000000000003</v>
      </c>
    </row>
    <row r="41" spans="3:5" x14ac:dyDescent="0.25">
      <c r="C41" s="5">
        <v>2020</v>
      </c>
      <c r="D41">
        <v>1</v>
      </c>
      <c r="E41" s="6"/>
    </row>
    <row r="42" spans="3:5" x14ac:dyDescent="0.25">
      <c r="C42" s="5">
        <v>2021</v>
      </c>
      <c r="D42">
        <v>1</v>
      </c>
      <c r="E42" s="6"/>
    </row>
    <row r="43" spans="3:5" x14ac:dyDescent="0.25">
      <c r="C43" s="5" t="s">
        <v>23</v>
      </c>
      <c r="E43" s="6"/>
    </row>
    <row r="44" spans="3:5" x14ac:dyDescent="0.25">
      <c r="C44" s="5" t="s">
        <v>24</v>
      </c>
      <c r="D44">
        <v>22</v>
      </c>
      <c r="E44" s="6">
        <v>80.139999999999986</v>
      </c>
    </row>
  </sheetData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87C4-4B8F-42E2-97B7-833231D698F0}">
  <dimension ref="A1:T23"/>
  <sheetViews>
    <sheetView tabSelected="1" topLeftCell="A4" zoomScaleNormal="100" workbookViewId="0">
      <selection activeCell="L6" sqref="L6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3" width="12" bestFit="1" customWidth="1"/>
    <col min="5" max="6" width="12" bestFit="1" customWidth="1"/>
    <col min="7" max="7" width="11.28515625" bestFit="1" customWidth="1"/>
    <col min="8" max="8" width="11.7109375" bestFit="1" customWidth="1"/>
    <col min="9" max="9" width="23.7109375" customWidth="1"/>
    <col min="10" max="10" width="36" bestFit="1" customWidth="1"/>
    <col min="11" max="11" width="29.28515625" bestFit="1" customWidth="1"/>
    <col min="12" max="12" width="27.42578125" bestFit="1" customWidth="1"/>
    <col min="13" max="13" width="19.85546875" bestFit="1" customWidth="1"/>
    <col min="14" max="14" width="22.5703125" bestFit="1" customWidth="1"/>
    <col min="15" max="15" width="14.28515625" bestFit="1" customWidth="1"/>
    <col min="16" max="16" width="15.140625" bestFit="1" customWidth="1"/>
    <col min="17" max="17" width="12" bestFit="1" customWidth="1"/>
    <col min="18" max="18" width="15.140625" bestFit="1" customWidth="1"/>
    <col min="19" max="19" width="23.85546875" customWidth="1"/>
    <col min="20" max="20" width="13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16</v>
      </c>
      <c r="O1" s="1" t="s">
        <v>13</v>
      </c>
      <c r="P1" s="1" t="s">
        <v>12</v>
      </c>
      <c r="Q1" s="1" t="s">
        <v>15</v>
      </c>
      <c r="R1" s="1" t="s">
        <v>11</v>
      </c>
      <c r="S1" s="1" t="s">
        <v>10</v>
      </c>
      <c r="T1" s="1" t="s">
        <v>30</v>
      </c>
    </row>
    <row r="2" spans="1:20" x14ac:dyDescent="0.25">
      <c r="A2" s="2">
        <v>2000</v>
      </c>
      <c r="B2">
        <v>11667.52</v>
      </c>
      <c r="C2">
        <v>8.2183570449905954</v>
      </c>
      <c r="D2">
        <v>101.69733333333301</v>
      </c>
      <c r="E2">
        <v>21.274166666666702</v>
      </c>
      <c r="F2">
        <v>6.9332921556515803</v>
      </c>
      <c r="G2" s="2">
        <v>3.44</v>
      </c>
      <c r="H2">
        <v>3666.6</v>
      </c>
      <c r="I2">
        <v>29030.539999999994</v>
      </c>
      <c r="J2">
        <v>2260.5223558093526</v>
      </c>
      <c r="K2">
        <v>29741.66</v>
      </c>
      <c r="L2">
        <v>41120.97</v>
      </c>
      <c r="M2">
        <v>10602.789683121375</v>
      </c>
      <c r="N2">
        <v>112419149.06450507</v>
      </c>
      <c r="O2">
        <v>-1.4526458366645745</v>
      </c>
      <c r="P2">
        <v>-0.23260996540277323</v>
      </c>
      <c r="Q2">
        <v>31345.73</v>
      </c>
      <c r="R2">
        <v>11667.52</v>
      </c>
      <c r="S2">
        <v>43013.25</v>
      </c>
      <c r="T2">
        <v>22</v>
      </c>
    </row>
    <row r="3" spans="1:20" x14ac:dyDescent="0.25">
      <c r="A3" s="2">
        <v>2001</v>
      </c>
      <c r="B3">
        <v>12116.16</v>
      </c>
      <c r="C3">
        <v>9.8431237126109412</v>
      </c>
      <c r="D3">
        <v>111.23125</v>
      </c>
      <c r="E3">
        <v>23.438333333333301</v>
      </c>
      <c r="F3">
        <v>18.873646209386301</v>
      </c>
      <c r="G3" s="2">
        <v>3.43</v>
      </c>
      <c r="H3">
        <v>1314</v>
      </c>
      <c r="I3">
        <v>11.607421311554001</v>
      </c>
      <c r="J3">
        <v>0.70041227230648995</v>
      </c>
      <c r="K3">
        <v>11.0321388749083</v>
      </c>
      <c r="M3">
        <v>3.2096922555205101</v>
      </c>
      <c r="N3">
        <v>10.302124375148356</v>
      </c>
      <c r="O3">
        <v>1.117361945936485</v>
      </c>
      <c r="P3">
        <v>1.1307614734917999</v>
      </c>
      <c r="Q3">
        <v>11.5334929417879</v>
      </c>
      <c r="R3">
        <v>8.0700361066162607</v>
      </c>
      <c r="S3">
        <v>19.603529048404187</v>
      </c>
      <c r="T3">
        <v>21</v>
      </c>
    </row>
    <row r="4" spans="1:20" x14ac:dyDescent="0.25">
      <c r="A4" s="2">
        <v>2002</v>
      </c>
      <c r="B4">
        <v>15729.25</v>
      </c>
      <c r="C4">
        <v>8.0700361066162607</v>
      </c>
      <c r="D4">
        <v>120.57815833333299</v>
      </c>
      <c r="E4">
        <v>24.7708333333333</v>
      </c>
      <c r="F4">
        <v>12.8765792031099</v>
      </c>
      <c r="G4" s="2">
        <v>3.45</v>
      </c>
      <c r="H4">
        <v>4310.8999999999996</v>
      </c>
      <c r="I4">
        <v>178.56476569009965</v>
      </c>
      <c r="J4">
        <v>16.920042074218603</v>
      </c>
      <c r="K4">
        <v>150.29750000000001</v>
      </c>
      <c r="M4">
        <v>77.537373566944368</v>
      </c>
      <c r="N4">
        <v>6012.044299659884</v>
      </c>
      <c r="O4">
        <v>0.22161058398511191</v>
      </c>
      <c r="P4">
        <v>1.2653232791587983</v>
      </c>
      <c r="Q4">
        <v>257.11346392496398</v>
      </c>
      <c r="R4">
        <v>101.69733333333301</v>
      </c>
      <c r="S4">
        <v>358.81079725829699</v>
      </c>
      <c r="T4">
        <v>21</v>
      </c>
    </row>
    <row r="5" spans="1:20" x14ac:dyDescent="0.25">
      <c r="A5" s="2">
        <v>2003</v>
      </c>
      <c r="B5">
        <v>16150.74</v>
      </c>
      <c r="C5">
        <v>8.896911860833832</v>
      </c>
      <c r="D5">
        <v>129.22235000000001</v>
      </c>
      <c r="E5">
        <v>20.714166666666699</v>
      </c>
      <c r="F5">
        <v>14.0317836131437</v>
      </c>
      <c r="G5" s="2">
        <v>3.45</v>
      </c>
      <c r="H5">
        <v>9954.7999999999993</v>
      </c>
      <c r="I5">
        <v>17.619522159525793</v>
      </c>
      <c r="J5">
        <v>0.63262092812352622</v>
      </c>
      <c r="K5">
        <v>16.898615149010951</v>
      </c>
      <c r="M5">
        <v>2.9672551712647124</v>
      </c>
      <c r="N5">
        <v>8.804603251397177</v>
      </c>
      <c r="O5">
        <v>1.2489712009895415</v>
      </c>
      <c r="P5">
        <v>0.63850095920213967</v>
      </c>
      <c r="Q5">
        <v>13.2877005386196</v>
      </c>
      <c r="R5">
        <v>11.483132794713701</v>
      </c>
      <c r="S5">
        <v>24.7708333333333</v>
      </c>
      <c r="T5">
        <v>22</v>
      </c>
    </row>
    <row r="6" spans="1:20" x14ac:dyDescent="0.25">
      <c r="A6" s="2">
        <v>2004</v>
      </c>
      <c r="B6">
        <v>17983.38</v>
      </c>
      <c r="C6">
        <v>8.4510109671502729</v>
      </c>
      <c r="D6">
        <v>132.888025</v>
      </c>
      <c r="E6">
        <v>19.1808333333333</v>
      </c>
      <c r="F6">
        <v>14.9980338183251</v>
      </c>
      <c r="G6" s="2">
        <v>3.42</v>
      </c>
      <c r="H6">
        <v>11353.8</v>
      </c>
      <c r="I6">
        <v>12.342776410672499</v>
      </c>
      <c r="J6">
        <v>0.77668413069315456</v>
      </c>
      <c r="K6">
        <v>12.3863710622264</v>
      </c>
      <c r="M6">
        <v>3.6429714870079324</v>
      </c>
      <c r="N6">
        <v>13.271241255152788</v>
      </c>
      <c r="O6">
        <v>-0.65071468237637098</v>
      </c>
      <c r="P6">
        <v>-6.5599801094729709E-2</v>
      </c>
      <c r="Q6">
        <v>13.48563824080005</v>
      </c>
      <c r="R6">
        <v>5.3880079685862503</v>
      </c>
      <c r="S6">
        <v>18.873646209386301</v>
      </c>
      <c r="T6">
        <v>22</v>
      </c>
    </row>
    <row r="7" spans="1:20" x14ac:dyDescent="0.25">
      <c r="A7" s="2">
        <v>2005</v>
      </c>
      <c r="B7">
        <v>19421.14</v>
      </c>
      <c r="C7">
        <v>8.4252993464311849</v>
      </c>
      <c r="D7">
        <v>131.274333333333</v>
      </c>
      <c r="E7">
        <v>17.948333333333299</v>
      </c>
      <c r="F7">
        <v>17.863493366160501</v>
      </c>
      <c r="G7" s="2">
        <v>3.5</v>
      </c>
      <c r="H7">
        <v>28504.799999999999</v>
      </c>
      <c r="I7">
        <v>4.0069999999999997</v>
      </c>
      <c r="J7">
        <v>0.11184364085633261</v>
      </c>
      <c r="K7">
        <v>4.0750000000000002</v>
      </c>
      <c r="L7">
        <v>3.45</v>
      </c>
      <c r="M7">
        <v>0.50017996761166506</v>
      </c>
      <c r="N7">
        <v>0.25018000000000629</v>
      </c>
      <c r="O7">
        <v>-1.8913333882132897</v>
      </c>
      <c r="P7">
        <v>1.2097024090674792E-2</v>
      </c>
      <c r="Q7">
        <v>1.2599999999999998</v>
      </c>
      <c r="R7">
        <v>3.42</v>
      </c>
      <c r="S7">
        <v>4.68</v>
      </c>
      <c r="T7">
        <v>20</v>
      </c>
    </row>
    <row r="8" spans="1:20" x14ac:dyDescent="0.25">
      <c r="A8" s="2">
        <v>2006</v>
      </c>
      <c r="B8">
        <v>21079.279999999999</v>
      </c>
      <c r="C8">
        <v>8.1110261868305304</v>
      </c>
      <c r="D8">
        <v>128.65166666666701</v>
      </c>
      <c r="E8">
        <v>16.893333333333299</v>
      </c>
      <c r="F8">
        <v>8.2252215201704804</v>
      </c>
      <c r="G8" s="2">
        <v>3.54</v>
      </c>
      <c r="H8">
        <v>16450.2</v>
      </c>
      <c r="I8">
        <v>72904.652105263202</v>
      </c>
      <c r="J8">
        <v>16712.715403514398</v>
      </c>
      <c r="K8">
        <v>50928.3</v>
      </c>
      <c r="M8">
        <v>72849.037516074852</v>
      </c>
      <c r="N8">
        <v>5306982267.0184822</v>
      </c>
      <c r="O8">
        <v>-0.60933849848375976</v>
      </c>
      <c r="P8">
        <v>0.92159294801187241</v>
      </c>
      <c r="Q8">
        <v>206649.32</v>
      </c>
      <c r="R8">
        <v>1314</v>
      </c>
      <c r="S8">
        <v>207963.32</v>
      </c>
      <c r="T8">
        <v>19</v>
      </c>
    </row>
    <row r="9" spans="1:20" x14ac:dyDescent="0.25">
      <c r="A9" s="2">
        <v>2007</v>
      </c>
      <c r="B9">
        <v>22875.919999999998</v>
      </c>
      <c r="C9">
        <v>13.388046235850693</v>
      </c>
      <c r="D9">
        <v>125.808108333333</v>
      </c>
      <c r="E9">
        <v>16.939166666666701</v>
      </c>
      <c r="F9">
        <v>5.3880079685862503</v>
      </c>
      <c r="G9" s="2">
        <v>3.58</v>
      </c>
      <c r="H9">
        <v>22850.2</v>
      </c>
    </row>
    <row r="10" spans="1:20" x14ac:dyDescent="0.25">
      <c r="A10" s="2">
        <v>2008</v>
      </c>
      <c r="B10">
        <v>24794.31</v>
      </c>
      <c r="C10">
        <v>18.573148455763224</v>
      </c>
      <c r="D10">
        <v>118.566666666667</v>
      </c>
      <c r="E10">
        <v>15.1358333333333</v>
      </c>
      <c r="F10">
        <v>11.5810751748252</v>
      </c>
      <c r="G10" s="2">
        <v>3.67</v>
      </c>
      <c r="H10">
        <v>42753.06</v>
      </c>
    </row>
    <row r="11" spans="1:20" x14ac:dyDescent="0.25">
      <c r="A11" s="2">
        <v>2009</v>
      </c>
      <c r="B11">
        <v>26684.73</v>
      </c>
      <c r="C11">
        <v>19.603529048404187</v>
      </c>
      <c r="D11">
        <v>148.88</v>
      </c>
      <c r="E11">
        <v>18.990833333333299</v>
      </c>
      <c r="F11">
        <v>12.5549603893497</v>
      </c>
      <c r="G11" s="2">
        <v>3.99</v>
      </c>
      <c r="H11">
        <v>58215.66</v>
      </c>
    </row>
    <row r="12" spans="1:20" x14ac:dyDescent="0.25">
      <c r="A12" s="2">
        <v>2010</v>
      </c>
      <c r="B12">
        <v>28673.040000000001</v>
      </c>
      <c r="C12">
        <v>13.459395686724115</v>
      </c>
      <c r="D12">
        <v>150.29750000000001</v>
      </c>
      <c r="E12">
        <v>17.585000000000001</v>
      </c>
      <c r="F12">
        <v>13.7202018444406</v>
      </c>
      <c r="G12" s="2">
        <v>4.16</v>
      </c>
      <c r="H12">
        <v>52867.5</v>
      </c>
    </row>
    <row r="13" spans="1:20" x14ac:dyDescent="0.25">
      <c r="A13" s="2">
        <v>2011</v>
      </c>
      <c r="B13">
        <v>30810.28</v>
      </c>
      <c r="C13">
        <v>11.032138874908338</v>
      </c>
      <c r="D13">
        <v>153.86250000000001</v>
      </c>
      <c r="E13">
        <v>16.02</v>
      </c>
      <c r="F13">
        <v>10.840027541886601</v>
      </c>
      <c r="G13" s="2">
        <v>4.29</v>
      </c>
      <c r="H13">
        <v>50928.3</v>
      </c>
    </row>
    <row r="14" spans="1:20" x14ac:dyDescent="0.25">
      <c r="A14" s="2">
        <v>2012</v>
      </c>
      <c r="B14">
        <v>32753.64</v>
      </c>
      <c r="C14">
        <v>10.589451705755321</v>
      </c>
      <c r="D14">
        <v>157.5</v>
      </c>
      <c r="E14">
        <v>16.7916666666667</v>
      </c>
      <c r="F14">
        <v>12.217781735103101</v>
      </c>
      <c r="G14" s="2">
        <v>4.4400000000000004</v>
      </c>
      <c r="H14">
        <v>90422.25</v>
      </c>
    </row>
    <row r="15" spans="1:20" x14ac:dyDescent="0.25">
      <c r="A15" s="2">
        <v>2013</v>
      </c>
      <c r="B15">
        <v>35504.79</v>
      </c>
      <c r="C15">
        <v>11.524427279133695</v>
      </c>
      <c r="D15">
        <v>157.31166666666701</v>
      </c>
      <c r="E15">
        <v>16.7225</v>
      </c>
      <c r="F15">
        <v>8.4758272850289291</v>
      </c>
      <c r="G15" s="2">
        <v>4.59</v>
      </c>
      <c r="H15">
        <v>94055.58</v>
      </c>
    </row>
    <row r="16" spans="1:20" x14ac:dyDescent="0.25">
      <c r="A16" s="2">
        <v>2014</v>
      </c>
      <c r="B16">
        <v>38071.29</v>
      </c>
      <c r="C16">
        <v>13.290212244116164</v>
      </c>
      <c r="D16">
        <v>158.552641666667</v>
      </c>
      <c r="E16">
        <v>16.5483333333333</v>
      </c>
      <c r="F16">
        <v>8.0624858244499897</v>
      </c>
      <c r="G16" s="2">
        <v>4.68</v>
      </c>
      <c r="H16">
        <v>112110.15</v>
      </c>
    </row>
    <row r="17" spans="1:8" x14ac:dyDescent="0.25">
      <c r="A17" s="2">
        <v>2015</v>
      </c>
      <c r="B17">
        <v>39274.730000000003</v>
      </c>
      <c r="C17">
        <v>13.066946797666477</v>
      </c>
      <c r="D17">
        <v>192.440333333333</v>
      </c>
      <c r="E17">
        <v>16.849166666666701</v>
      </c>
      <c r="F17">
        <v>9.0093871832678101</v>
      </c>
      <c r="G17" s="2">
        <v>4.6399999999999997</v>
      </c>
      <c r="H17">
        <v>187247.34</v>
      </c>
    </row>
    <row r="18" spans="1:8" x14ac:dyDescent="0.25">
      <c r="A18" s="2">
        <v>2016</v>
      </c>
      <c r="B18">
        <v>39381.339999999997</v>
      </c>
      <c r="C18">
        <v>14.597205720355793</v>
      </c>
      <c r="D18">
        <v>253.49199999999999</v>
      </c>
      <c r="E18">
        <v>16.8680157641191</v>
      </c>
      <c r="F18">
        <v>15.6753405526234</v>
      </c>
      <c r="G18" s="2">
        <v>4.59</v>
      </c>
      <c r="H18">
        <v>196194.99</v>
      </c>
    </row>
    <row r="19" spans="1:8" x14ac:dyDescent="0.25">
      <c r="A19" s="2">
        <v>2017</v>
      </c>
      <c r="B19">
        <v>39906.03</v>
      </c>
      <c r="C19">
        <v>12.777270533935381</v>
      </c>
      <c r="D19">
        <v>305.79010916000499</v>
      </c>
      <c r="E19">
        <v>17.553333333333299</v>
      </c>
      <c r="F19">
        <v>16.523539980216899</v>
      </c>
      <c r="G19" s="2">
        <v>4.5</v>
      </c>
      <c r="H19">
        <v>194024.94</v>
      </c>
    </row>
    <row r="20" spans="1:8" x14ac:dyDescent="0.25">
      <c r="A20" s="2">
        <v>2018</v>
      </c>
      <c r="B20">
        <v>40539.120000000003</v>
      </c>
      <c r="C20">
        <v>10.179511628721635</v>
      </c>
      <c r="D20">
        <v>306.08368824523399</v>
      </c>
      <c r="E20">
        <v>16.903896964688599</v>
      </c>
      <c r="F20">
        <v>12.094731550531799</v>
      </c>
      <c r="G20" s="2">
        <v>4.42</v>
      </c>
      <c r="H20">
        <v>207963.32</v>
      </c>
    </row>
    <row r="21" spans="1:8" x14ac:dyDescent="0.25">
      <c r="A21" s="2">
        <v>2019</v>
      </c>
      <c r="B21">
        <v>41120.97</v>
      </c>
      <c r="C21">
        <v>10.430729476131484</v>
      </c>
      <c r="D21">
        <v>306.92095149522299</v>
      </c>
      <c r="E21">
        <v>15.3765869808333</v>
      </c>
      <c r="F21">
        <v>11.396794968716801</v>
      </c>
      <c r="G21" s="2">
        <v>4.3600000000000003</v>
      </c>
    </row>
    <row r="22" spans="1:8" x14ac:dyDescent="0.25">
      <c r="A22" s="2">
        <v>2020</v>
      </c>
      <c r="B22">
        <v>41120.97</v>
      </c>
      <c r="C22">
        <v>11.228068629703298</v>
      </c>
      <c r="D22">
        <v>358.81079725829699</v>
      </c>
      <c r="E22">
        <v>13.642021671879601</v>
      </c>
      <c r="F22">
        <v>13.246023427659701</v>
      </c>
    </row>
    <row r="23" spans="1:8" x14ac:dyDescent="0.25">
      <c r="A23" s="2">
        <v>2021</v>
      </c>
      <c r="B23">
        <v>43013.25</v>
      </c>
      <c r="E23">
        <v>11.483132794713701</v>
      </c>
      <c r="F23">
        <v>16.952845722160799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3996-2A4C-466F-826C-8D0BBD9228FD}">
  <dimension ref="A3:J27"/>
  <sheetViews>
    <sheetView workbookViewId="0">
      <selection activeCell="H4" sqref="H4:J27"/>
    </sheetView>
  </sheetViews>
  <sheetFormatPr defaultRowHeight="15" x14ac:dyDescent="0.25"/>
  <cols>
    <col min="1" max="1" width="13.140625" bestFit="1" customWidth="1"/>
    <col min="2" max="2" width="11.42578125" bestFit="1" customWidth="1"/>
    <col min="3" max="3" width="9.28515625" bestFit="1" customWidth="1"/>
    <col min="4" max="4" width="12" bestFit="1" customWidth="1"/>
    <col min="8" max="8" width="13.140625" bestFit="1" customWidth="1"/>
    <col min="9" max="9" width="13.42578125" bestFit="1" customWidth="1"/>
    <col min="10" max="10" width="13.85546875" bestFit="1" customWidth="1"/>
  </cols>
  <sheetData>
    <row r="3" spans="1:10" x14ac:dyDescent="0.25">
      <c r="A3" s="4" t="s">
        <v>22</v>
      </c>
      <c r="B3" t="s">
        <v>47</v>
      </c>
      <c r="C3" t="s">
        <v>37</v>
      </c>
    </row>
    <row r="4" spans="1:10" x14ac:dyDescent="0.25">
      <c r="A4" s="5">
        <v>2000</v>
      </c>
      <c r="B4" s="6">
        <v>6.9332921556515803</v>
      </c>
      <c r="C4" s="6">
        <v>21.274166666666702</v>
      </c>
      <c r="H4" s="4" t="s">
        <v>22</v>
      </c>
      <c r="I4" t="s">
        <v>21</v>
      </c>
      <c r="J4" t="s">
        <v>48</v>
      </c>
    </row>
    <row r="5" spans="1:10" x14ac:dyDescent="0.25">
      <c r="A5" s="5">
        <v>2001</v>
      </c>
      <c r="B5" s="6">
        <v>18.873646209386301</v>
      </c>
      <c r="C5" s="6">
        <v>23.438333333333301</v>
      </c>
      <c r="H5" s="5">
        <v>2000</v>
      </c>
      <c r="I5">
        <v>3.44</v>
      </c>
      <c r="J5">
        <v>3666.6</v>
      </c>
    </row>
    <row r="6" spans="1:10" x14ac:dyDescent="0.25">
      <c r="A6" s="5">
        <v>2002</v>
      </c>
      <c r="B6" s="6">
        <v>12.8765792031099</v>
      </c>
      <c r="C6" s="6">
        <v>24.7708333333333</v>
      </c>
      <c r="H6" s="5">
        <v>2001</v>
      </c>
      <c r="I6">
        <v>3.43</v>
      </c>
      <c r="J6">
        <v>1314</v>
      </c>
    </row>
    <row r="7" spans="1:10" x14ac:dyDescent="0.25">
      <c r="A7" s="5">
        <v>2003</v>
      </c>
      <c r="B7" s="6">
        <v>14.0317836131437</v>
      </c>
      <c r="C7" s="6">
        <v>20.714166666666699</v>
      </c>
      <c r="H7" s="5">
        <v>2002</v>
      </c>
      <c r="I7">
        <v>3.45</v>
      </c>
      <c r="J7">
        <v>4310.8999999999996</v>
      </c>
    </row>
    <row r="8" spans="1:10" x14ac:dyDescent="0.25">
      <c r="A8" s="5">
        <v>2004</v>
      </c>
      <c r="B8" s="6">
        <v>14.9980338183251</v>
      </c>
      <c r="C8" s="6">
        <v>19.1808333333333</v>
      </c>
      <c r="H8" s="5">
        <v>2003</v>
      </c>
      <c r="I8">
        <v>3.45</v>
      </c>
      <c r="J8">
        <v>9954.7999999999993</v>
      </c>
    </row>
    <row r="9" spans="1:10" x14ac:dyDescent="0.25">
      <c r="A9" s="5">
        <v>2005</v>
      </c>
      <c r="B9" s="6">
        <v>17.863493366160501</v>
      </c>
      <c r="C9" s="6">
        <v>17.948333333333299</v>
      </c>
      <c r="H9" s="5">
        <v>2004</v>
      </c>
      <c r="I9">
        <v>3.42</v>
      </c>
      <c r="J9">
        <v>11353.8</v>
      </c>
    </row>
    <row r="10" spans="1:10" x14ac:dyDescent="0.25">
      <c r="A10" s="5">
        <v>2006</v>
      </c>
      <c r="B10" s="6">
        <v>8.2252215201704804</v>
      </c>
      <c r="C10" s="6">
        <v>16.893333333333299</v>
      </c>
      <c r="H10" s="5">
        <v>2005</v>
      </c>
      <c r="I10">
        <v>3.5</v>
      </c>
      <c r="J10">
        <v>28504.799999999999</v>
      </c>
    </row>
    <row r="11" spans="1:10" x14ac:dyDescent="0.25">
      <c r="A11" s="5">
        <v>2007</v>
      </c>
      <c r="B11" s="6">
        <v>5.3880079685862503</v>
      </c>
      <c r="C11" s="6">
        <v>16.939166666666701</v>
      </c>
      <c r="H11" s="5">
        <v>2006</v>
      </c>
      <c r="I11">
        <v>3.54</v>
      </c>
      <c r="J11">
        <v>16450.2</v>
      </c>
    </row>
    <row r="12" spans="1:10" x14ac:dyDescent="0.25">
      <c r="A12" s="5">
        <v>2008</v>
      </c>
      <c r="B12" s="6">
        <v>11.5810751748252</v>
      </c>
      <c r="C12" s="6">
        <v>15.1358333333333</v>
      </c>
      <c r="H12" s="5">
        <v>2007</v>
      </c>
      <c r="I12">
        <v>3.58</v>
      </c>
      <c r="J12">
        <v>22850.2</v>
      </c>
    </row>
    <row r="13" spans="1:10" x14ac:dyDescent="0.25">
      <c r="A13" s="5">
        <v>2009</v>
      </c>
      <c r="B13" s="6">
        <v>12.5549603893497</v>
      </c>
      <c r="C13" s="6">
        <v>18.990833333333299</v>
      </c>
      <c r="H13" s="5">
        <v>2008</v>
      </c>
      <c r="I13">
        <v>3.67</v>
      </c>
      <c r="J13">
        <v>42753.06</v>
      </c>
    </row>
    <row r="14" spans="1:10" x14ac:dyDescent="0.25">
      <c r="A14" s="5">
        <v>2010</v>
      </c>
      <c r="B14" s="6">
        <v>13.7202018444406</v>
      </c>
      <c r="C14" s="6">
        <v>17.585000000000001</v>
      </c>
      <c r="H14" s="5">
        <v>2009</v>
      </c>
      <c r="I14">
        <v>3.99</v>
      </c>
      <c r="J14">
        <v>58215.66</v>
      </c>
    </row>
    <row r="15" spans="1:10" x14ac:dyDescent="0.25">
      <c r="A15" s="5">
        <v>2011</v>
      </c>
      <c r="B15" s="6">
        <v>10.840027541886601</v>
      </c>
      <c r="C15" s="6">
        <v>16.02</v>
      </c>
      <c r="H15" s="5">
        <v>2010</v>
      </c>
      <c r="I15">
        <v>4.16</v>
      </c>
      <c r="J15">
        <v>52867.5</v>
      </c>
    </row>
    <row r="16" spans="1:10" x14ac:dyDescent="0.25">
      <c r="A16" s="5">
        <v>2012</v>
      </c>
      <c r="B16" s="6">
        <v>12.217781735103101</v>
      </c>
      <c r="C16" s="6">
        <v>16.7916666666667</v>
      </c>
      <c r="H16" s="5">
        <v>2011</v>
      </c>
      <c r="I16">
        <v>4.29</v>
      </c>
      <c r="J16">
        <v>50928.3</v>
      </c>
    </row>
    <row r="17" spans="1:10" x14ac:dyDescent="0.25">
      <c r="A17" s="5">
        <v>2013</v>
      </c>
      <c r="B17" s="6">
        <v>8.4758272850289291</v>
      </c>
      <c r="C17" s="6">
        <v>16.7225</v>
      </c>
      <c r="H17" s="5">
        <v>2012</v>
      </c>
      <c r="I17">
        <v>4.4400000000000004</v>
      </c>
      <c r="J17">
        <v>90422.25</v>
      </c>
    </row>
    <row r="18" spans="1:10" x14ac:dyDescent="0.25">
      <c r="A18" s="5">
        <v>2014</v>
      </c>
      <c r="B18" s="6">
        <v>8.0624858244499897</v>
      </c>
      <c r="C18" s="6">
        <v>16.5483333333333</v>
      </c>
      <c r="H18" s="5">
        <v>2013</v>
      </c>
      <c r="I18">
        <v>4.59</v>
      </c>
      <c r="J18">
        <v>94055.58</v>
      </c>
    </row>
    <row r="19" spans="1:10" x14ac:dyDescent="0.25">
      <c r="A19" s="5">
        <v>2015</v>
      </c>
      <c r="B19" s="6">
        <v>9.0093871832678101</v>
      </c>
      <c r="C19" s="6">
        <v>16.849166666666701</v>
      </c>
      <c r="H19" s="5">
        <v>2014</v>
      </c>
      <c r="I19">
        <v>4.68</v>
      </c>
      <c r="J19">
        <v>112110.15</v>
      </c>
    </row>
    <row r="20" spans="1:10" x14ac:dyDescent="0.25">
      <c r="A20" s="5">
        <v>2016</v>
      </c>
      <c r="B20" s="6">
        <v>15.6753405526234</v>
      </c>
      <c r="C20" s="6">
        <v>16.8680157641191</v>
      </c>
      <c r="H20" s="5">
        <v>2015</v>
      </c>
      <c r="I20">
        <v>4.6399999999999997</v>
      </c>
      <c r="J20">
        <v>187247.34</v>
      </c>
    </row>
    <row r="21" spans="1:10" x14ac:dyDescent="0.25">
      <c r="A21" s="5">
        <v>2017</v>
      </c>
      <c r="B21" s="6">
        <v>16.523539980216899</v>
      </c>
      <c r="C21" s="6">
        <v>17.553333333333299</v>
      </c>
      <c r="H21" s="5">
        <v>2016</v>
      </c>
      <c r="I21">
        <v>4.59</v>
      </c>
      <c r="J21">
        <v>196194.99</v>
      </c>
    </row>
    <row r="22" spans="1:10" x14ac:dyDescent="0.25">
      <c r="A22" s="5">
        <v>2018</v>
      </c>
      <c r="B22" s="6">
        <v>12.094731550531799</v>
      </c>
      <c r="C22" s="6">
        <v>16.903896964688599</v>
      </c>
      <c r="H22" s="5">
        <v>2017</v>
      </c>
      <c r="I22">
        <v>4.5</v>
      </c>
      <c r="J22">
        <v>194024.94</v>
      </c>
    </row>
    <row r="23" spans="1:10" x14ac:dyDescent="0.25">
      <c r="A23" s="5">
        <v>2019</v>
      </c>
      <c r="B23" s="6">
        <v>11.396794968716801</v>
      </c>
      <c r="C23" s="6">
        <v>15.3765869808333</v>
      </c>
      <c r="H23" s="5">
        <v>2018</v>
      </c>
      <c r="I23">
        <v>4.42</v>
      </c>
      <c r="J23">
        <v>207963.32</v>
      </c>
    </row>
    <row r="24" spans="1:10" x14ac:dyDescent="0.25">
      <c r="A24" s="5">
        <v>2020</v>
      </c>
      <c r="B24" s="6">
        <v>13.246023427659701</v>
      </c>
      <c r="C24" s="6">
        <v>13.642021671879601</v>
      </c>
      <c r="H24" s="5">
        <v>2019</v>
      </c>
      <c r="I24">
        <v>4.3600000000000003</v>
      </c>
    </row>
    <row r="25" spans="1:10" x14ac:dyDescent="0.25">
      <c r="A25" s="5">
        <v>2021</v>
      </c>
      <c r="B25" s="6">
        <v>16.952845722160799</v>
      </c>
      <c r="C25" s="6">
        <v>11.483132794713701</v>
      </c>
      <c r="H25" s="5">
        <v>2020</v>
      </c>
    </row>
    <row r="26" spans="1:10" x14ac:dyDescent="0.25">
      <c r="A26" s="5" t="s">
        <v>24</v>
      </c>
      <c r="B26" s="6">
        <v>271.54108103479518</v>
      </c>
      <c r="C26" s="6">
        <v>387.62948750956747</v>
      </c>
      <c r="H26" s="5">
        <v>2021</v>
      </c>
    </row>
    <row r="27" spans="1:10" x14ac:dyDescent="0.25">
      <c r="H27" s="5" t="s">
        <v>24</v>
      </c>
      <c r="I27">
        <v>80.139999999999986</v>
      </c>
      <c r="J27">
        <v>1385188.3900000001</v>
      </c>
    </row>
  </sheetData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C6E8-CABF-4A58-86F6-CF53574F0EA9}">
  <dimension ref="A1:L23"/>
  <sheetViews>
    <sheetView workbookViewId="0">
      <selection activeCell="J3" sqref="J3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6" width="12" bestFit="1" customWidth="1"/>
    <col min="7" max="7" width="11.28515625" bestFit="1" customWidth="1"/>
    <col min="8" max="8" width="1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s="2">
        <v>2000</v>
      </c>
      <c r="B2">
        <v>11667.52</v>
      </c>
      <c r="C2">
        <v>8.2183570449905954</v>
      </c>
      <c r="D2">
        <v>101.69733333333301</v>
      </c>
      <c r="E2">
        <v>21.274166666666702</v>
      </c>
      <c r="F2">
        <v>6.9332921556515803</v>
      </c>
      <c r="G2" s="2">
        <v>3.44</v>
      </c>
      <c r="H2">
        <v>3666.6</v>
      </c>
      <c r="L2">
        <f>AVERAGE(B2:B23)</f>
        <v>29030.539999999994</v>
      </c>
    </row>
    <row r="3" spans="1:12" x14ac:dyDescent="0.25">
      <c r="A3" s="2">
        <v>2001</v>
      </c>
      <c r="B3">
        <v>12116.16</v>
      </c>
      <c r="C3">
        <v>9.8431237126109412</v>
      </c>
      <c r="D3">
        <v>111.23125</v>
      </c>
      <c r="E3">
        <v>23.438333333333301</v>
      </c>
      <c r="F3">
        <v>18.873646209386301</v>
      </c>
      <c r="G3" s="2">
        <v>3.43</v>
      </c>
      <c r="H3">
        <v>1314</v>
      </c>
      <c r="J3">
        <f>SUM(B3:H3)</f>
        <v>13596.976353255332</v>
      </c>
    </row>
    <row r="4" spans="1:12" x14ac:dyDescent="0.25">
      <c r="A4" s="2">
        <v>2002</v>
      </c>
      <c r="B4">
        <v>15729.25</v>
      </c>
      <c r="C4">
        <v>8.0700361066162607</v>
      </c>
      <c r="D4">
        <v>120.57815833333299</v>
      </c>
      <c r="E4">
        <v>24.7708333333333</v>
      </c>
      <c r="F4">
        <v>12.8765792031099</v>
      </c>
      <c r="G4" s="2">
        <v>3.45</v>
      </c>
      <c r="H4">
        <v>4310.8999999999996</v>
      </c>
    </row>
    <row r="5" spans="1:12" x14ac:dyDescent="0.25">
      <c r="A5" s="2">
        <v>2003</v>
      </c>
      <c r="B5">
        <v>16150.74</v>
      </c>
      <c r="C5">
        <v>8.896911860833832</v>
      </c>
      <c r="D5">
        <v>129.22235000000001</v>
      </c>
      <c r="E5">
        <v>20.714166666666699</v>
      </c>
      <c r="F5">
        <v>14.0317836131437</v>
      </c>
      <c r="G5" s="2">
        <v>3.45</v>
      </c>
      <c r="H5">
        <v>9954.7999999999993</v>
      </c>
    </row>
    <row r="6" spans="1:12" x14ac:dyDescent="0.25">
      <c r="A6" s="2">
        <v>2004</v>
      </c>
      <c r="B6">
        <v>17983.38</v>
      </c>
      <c r="C6">
        <v>8.4510109671502729</v>
      </c>
      <c r="D6">
        <v>132.888025</v>
      </c>
      <c r="E6">
        <v>19.1808333333333</v>
      </c>
      <c r="F6">
        <v>14.9980338183251</v>
      </c>
      <c r="G6" s="2">
        <v>3.42</v>
      </c>
      <c r="H6">
        <v>11353.8</v>
      </c>
    </row>
    <row r="7" spans="1:12" x14ac:dyDescent="0.25">
      <c r="A7" s="2">
        <v>2005</v>
      </c>
      <c r="B7">
        <v>19421.14</v>
      </c>
      <c r="C7">
        <v>8.4252993464311849</v>
      </c>
      <c r="D7">
        <v>131.274333333333</v>
      </c>
      <c r="E7">
        <v>17.948333333333299</v>
      </c>
      <c r="F7">
        <v>17.863493366160501</v>
      </c>
      <c r="G7" s="2">
        <v>3.5</v>
      </c>
      <c r="H7">
        <v>28504.799999999999</v>
      </c>
    </row>
    <row r="8" spans="1:12" x14ac:dyDescent="0.25">
      <c r="A8" s="2">
        <v>2006</v>
      </c>
      <c r="B8">
        <v>21079.279999999999</v>
      </c>
      <c r="C8">
        <v>8.1110261868305304</v>
      </c>
      <c r="D8">
        <v>128.65166666666701</v>
      </c>
      <c r="E8">
        <v>16.893333333333299</v>
      </c>
      <c r="F8">
        <v>8.2252215201704804</v>
      </c>
      <c r="G8" s="2">
        <v>3.54</v>
      </c>
      <c r="H8">
        <v>16450.2</v>
      </c>
    </row>
    <row r="9" spans="1:12" x14ac:dyDescent="0.25">
      <c r="A9" s="2">
        <v>2007</v>
      </c>
      <c r="B9">
        <v>22875.919999999998</v>
      </c>
      <c r="C9">
        <v>13.388046235850693</v>
      </c>
      <c r="D9">
        <v>125.808108333333</v>
      </c>
      <c r="E9">
        <v>16.939166666666701</v>
      </c>
      <c r="F9">
        <v>5.3880079685862503</v>
      </c>
      <c r="G9" s="2">
        <v>3.58</v>
      </c>
      <c r="H9">
        <v>22850.2</v>
      </c>
    </row>
    <row r="10" spans="1:12" x14ac:dyDescent="0.25">
      <c r="A10" s="2">
        <v>2008</v>
      </c>
      <c r="B10">
        <v>24794.31</v>
      </c>
      <c r="C10">
        <v>18.573148455763224</v>
      </c>
      <c r="D10">
        <v>118.566666666667</v>
      </c>
      <c r="E10">
        <v>15.1358333333333</v>
      </c>
      <c r="F10">
        <v>11.5810751748252</v>
      </c>
      <c r="G10" s="2">
        <v>3.67</v>
      </c>
      <c r="H10">
        <v>42753.06</v>
      </c>
    </row>
    <row r="11" spans="1:12" x14ac:dyDescent="0.25">
      <c r="A11" s="2">
        <v>2009</v>
      </c>
      <c r="B11">
        <v>26684.73</v>
      </c>
      <c r="C11">
        <v>19.603529048404187</v>
      </c>
      <c r="D11">
        <v>148.88</v>
      </c>
      <c r="E11">
        <v>18.990833333333299</v>
      </c>
      <c r="F11">
        <v>12.5549603893497</v>
      </c>
      <c r="G11" s="2">
        <v>3.99</v>
      </c>
      <c r="H11">
        <v>58215.66</v>
      </c>
    </row>
    <row r="12" spans="1:12" x14ac:dyDescent="0.25">
      <c r="A12" s="2">
        <v>2010</v>
      </c>
      <c r="B12">
        <v>28673.040000000001</v>
      </c>
      <c r="C12">
        <v>13.459395686724115</v>
      </c>
      <c r="D12">
        <v>150.29750000000001</v>
      </c>
      <c r="E12">
        <v>17.585000000000001</v>
      </c>
      <c r="F12">
        <v>13.7202018444406</v>
      </c>
      <c r="G12" s="2">
        <v>4.16</v>
      </c>
      <c r="H12">
        <v>52867.5</v>
      </c>
    </row>
    <row r="13" spans="1:12" x14ac:dyDescent="0.25">
      <c r="A13" s="2">
        <v>2011</v>
      </c>
      <c r="B13">
        <v>30810.28</v>
      </c>
      <c r="C13">
        <v>11.032138874908338</v>
      </c>
      <c r="D13">
        <v>153.86250000000001</v>
      </c>
      <c r="E13">
        <v>16.02</v>
      </c>
      <c r="F13">
        <v>10.840027541886601</v>
      </c>
      <c r="G13" s="2">
        <v>4.29</v>
      </c>
      <c r="H13">
        <v>50928.3</v>
      </c>
    </row>
    <row r="14" spans="1:12" x14ac:dyDescent="0.25">
      <c r="A14" s="2">
        <v>2012</v>
      </c>
      <c r="B14">
        <v>32753.64</v>
      </c>
      <c r="C14">
        <v>10.589451705755321</v>
      </c>
      <c r="D14">
        <v>157.5</v>
      </c>
      <c r="E14">
        <v>16.7916666666667</v>
      </c>
      <c r="F14">
        <v>12.217781735103101</v>
      </c>
      <c r="G14" s="2">
        <v>4.4400000000000004</v>
      </c>
      <c r="H14">
        <v>90422.25</v>
      </c>
    </row>
    <row r="15" spans="1:12" x14ac:dyDescent="0.25">
      <c r="A15" s="2">
        <v>2013</v>
      </c>
      <c r="B15">
        <v>35504.79</v>
      </c>
      <c r="C15">
        <v>11.524427279133695</v>
      </c>
      <c r="D15">
        <v>157.31166666666701</v>
      </c>
      <c r="E15">
        <v>16.7225</v>
      </c>
      <c r="F15">
        <v>8.4758272850289291</v>
      </c>
      <c r="G15" s="2">
        <v>4.59</v>
      </c>
      <c r="H15">
        <v>94055.58</v>
      </c>
    </row>
    <row r="16" spans="1:12" x14ac:dyDescent="0.25">
      <c r="A16" s="2">
        <v>2014</v>
      </c>
      <c r="B16">
        <v>38071.29</v>
      </c>
      <c r="C16">
        <v>13.290212244116164</v>
      </c>
      <c r="D16">
        <v>158.552641666667</v>
      </c>
      <c r="E16">
        <v>16.5483333333333</v>
      </c>
      <c r="F16">
        <v>8.0624858244499897</v>
      </c>
      <c r="G16" s="2">
        <v>4.68</v>
      </c>
      <c r="H16">
        <v>112110.15</v>
      </c>
    </row>
    <row r="17" spans="1:8" x14ac:dyDescent="0.25">
      <c r="A17" s="2">
        <v>2015</v>
      </c>
      <c r="B17">
        <v>39274.730000000003</v>
      </c>
      <c r="C17">
        <v>13.066946797666477</v>
      </c>
      <c r="D17">
        <v>192.440333333333</v>
      </c>
      <c r="E17">
        <v>16.849166666666701</v>
      </c>
      <c r="F17">
        <v>9.0093871832678101</v>
      </c>
      <c r="G17" s="2">
        <v>4.6399999999999997</v>
      </c>
      <c r="H17">
        <v>187247.34</v>
      </c>
    </row>
    <row r="18" spans="1:8" x14ac:dyDescent="0.25">
      <c r="A18" s="2">
        <v>2016</v>
      </c>
      <c r="B18">
        <v>39381.339999999997</v>
      </c>
      <c r="C18">
        <v>14.597205720355793</v>
      </c>
      <c r="D18">
        <v>253.49199999999999</v>
      </c>
      <c r="E18">
        <v>16.8680157641191</v>
      </c>
      <c r="F18">
        <v>15.6753405526234</v>
      </c>
      <c r="G18" s="2">
        <v>4.59</v>
      </c>
      <c r="H18">
        <v>196194.99</v>
      </c>
    </row>
    <row r="19" spans="1:8" x14ac:dyDescent="0.25">
      <c r="A19" s="2">
        <v>2017</v>
      </c>
      <c r="B19">
        <v>39906.03</v>
      </c>
      <c r="C19">
        <v>12.777270533935381</v>
      </c>
      <c r="D19">
        <v>305.79010916000499</v>
      </c>
      <c r="E19">
        <v>17.553333333333299</v>
      </c>
      <c r="F19">
        <v>16.523539980216899</v>
      </c>
      <c r="G19" s="2">
        <v>4.5</v>
      </c>
      <c r="H19">
        <v>194024.94</v>
      </c>
    </row>
    <row r="20" spans="1:8" x14ac:dyDescent="0.25">
      <c r="A20" s="2">
        <v>2018</v>
      </c>
      <c r="B20">
        <v>40539.120000000003</v>
      </c>
      <c r="C20">
        <v>10.179511628721635</v>
      </c>
      <c r="D20">
        <v>306.08368824523399</v>
      </c>
      <c r="E20">
        <v>16.903896964688599</v>
      </c>
      <c r="F20">
        <v>12.094731550531799</v>
      </c>
      <c r="G20" s="2">
        <v>4.42</v>
      </c>
      <c r="H20">
        <v>207963.32</v>
      </c>
    </row>
    <row r="21" spans="1:8" x14ac:dyDescent="0.25">
      <c r="A21" s="2">
        <v>2019</v>
      </c>
      <c r="B21">
        <v>41120.97</v>
      </c>
      <c r="C21">
        <v>10.430729476131484</v>
      </c>
      <c r="D21">
        <v>306.92095149522299</v>
      </c>
      <c r="E21">
        <v>15.3765869808333</v>
      </c>
      <c r="F21">
        <v>11.396794968716801</v>
      </c>
      <c r="G21" s="2">
        <v>4.3600000000000003</v>
      </c>
    </row>
    <row r="22" spans="1:8" x14ac:dyDescent="0.25">
      <c r="A22" s="2">
        <v>2020</v>
      </c>
      <c r="B22">
        <v>41120.97</v>
      </c>
      <c r="C22">
        <v>11.228068629703298</v>
      </c>
      <c r="D22">
        <v>358.81079725829699</v>
      </c>
      <c r="E22">
        <v>13.642021671879601</v>
      </c>
      <c r="F22">
        <v>13.246023427659701</v>
      </c>
    </row>
    <row r="23" spans="1:8" x14ac:dyDescent="0.25">
      <c r="A23" s="2">
        <v>2021</v>
      </c>
      <c r="B23">
        <v>43013.25</v>
      </c>
      <c r="E23">
        <v>11.483132794713701</v>
      </c>
      <c r="F23">
        <v>16.952845722160799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D673-E968-4EC9-9752-C6FD6F58232A}">
  <dimension ref="A1:X24"/>
  <sheetViews>
    <sheetView zoomScale="83" zoomScaleNormal="83" workbookViewId="0">
      <selection activeCell="Y8" sqref="Y8"/>
    </sheetView>
  </sheetViews>
  <sheetFormatPr defaultRowHeight="15" x14ac:dyDescent="0.25"/>
  <sheetData>
    <row r="1" spans="1:24" x14ac:dyDescent="0.25">
      <c r="A1" s="9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4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4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4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4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4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4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4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4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</sheetData>
  <mergeCells count="2">
    <mergeCell ref="A1:X4"/>
    <mergeCell ref="A5:W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Statistical Analysis</vt:lpstr>
      <vt:lpstr>Workings</vt:lpstr>
      <vt:lpstr>Combined data</vt:lpstr>
      <vt:lpstr>Sheet1</vt:lpstr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ILEM</dc:creator>
  <cp:lastModifiedBy>User</cp:lastModifiedBy>
  <cp:lastPrinted>2023-04-14T19:52:15Z</cp:lastPrinted>
  <dcterms:created xsi:type="dcterms:W3CDTF">2023-03-20T00:25:38Z</dcterms:created>
  <dcterms:modified xsi:type="dcterms:W3CDTF">2023-04-30T15:18:21Z</dcterms:modified>
</cp:coreProperties>
</file>